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Bv33ki/IlFp8YEjqrjJCR7R9z1HzoHpLJrwAnyrZFw+Re8gqeEAwTJ8PFzq2XIv+FMmazB+D9l+yttncK80vow==" workbookSaltValue="dXOzc+iNraw6YCdKopZuKA==" workbookSpinCount="100000" lockStructure="1"/>
  <bookViews>
    <workbookView xWindow="0" yWindow="0" windowWidth="22260" windowHeight="12645"/>
  </bookViews>
  <sheets>
    <sheet name="ОПП" sheetId="1" r:id="rId1"/>
    <sheet name="СВОД" sheetId="4" r:id="rId2"/>
    <sheet name="info" sheetId="3" r:id="rId3"/>
    <sheet name="ОТДЕЛЫ" sheetId="2" r:id="rId4"/>
    <sheet name="ИНСТРУКЦИЯ" sheetId="5" r:id="rId5"/>
    <sheet name="черновики СКРЫТЬ!!!" sheetId="6" r:id="rId6"/>
  </sheets>
  <functionGroups builtInGroupCount="18"/>
  <definedNames>
    <definedName name="_xlnm._FilterDatabase" localSheetId="0" hidden="1">ОПП!$A$1:$BD$34</definedName>
    <definedName name="_xlnm._FilterDatabase" localSheetId="3" hidden="1">ОТДЕЛЫ!$A$1:$M$3</definedName>
    <definedName name="_xlnm._FilterDatabase" localSheetId="1" hidden="1">СВОД!$A$4:$O$4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6" l="1"/>
  <c r="A1" i="6" l="1"/>
  <c r="AT1" i="1" l="1"/>
  <c r="D6" i="4" s="1"/>
  <c r="AU1" i="1"/>
  <c r="D7" i="4" s="1"/>
  <c r="AV1" i="1"/>
  <c r="D8" i="4" s="1"/>
  <c r="AW1" i="1"/>
  <c r="D9" i="4" s="1"/>
  <c r="AX1" i="1"/>
  <c r="D10" i="4" s="1"/>
  <c r="AY1" i="1"/>
  <c r="D11" i="4" s="1"/>
  <c r="AZ1" i="1"/>
  <c r="D12" i="4" s="1"/>
  <c r="BA1" i="1"/>
  <c r="D13" i="4" s="1"/>
  <c r="BB1" i="1"/>
  <c r="D14" i="4" s="1"/>
  <c r="BC1" i="1"/>
  <c r="D15" i="4" s="1"/>
  <c r="J5" i="4" l="1"/>
  <c r="J15" i="4"/>
  <c r="J14" i="4"/>
  <c r="J13" i="4"/>
  <c r="J12" i="4"/>
  <c r="J11" i="4"/>
  <c r="J10" i="4"/>
  <c r="J9" i="4"/>
  <c r="J8" i="4"/>
  <c r="J7" i="4"/>
  <c r="J6" i="4"/>
  <c r="I13" i="4"/>
  <c r="B5" i="4"/>
  <c r="H5" i="4" s="1"/>
  <c r="C15" i="4"/>
  <c r="I15" i="4" s="1"/>
  <c r="B15" i="4"/>
  <c r="H15" i="4" s="1"/>
  <c r="C14" i="4"/>
  <c r="I14" i="4" s="1"/>
  <c r="B14" i="4"/>
  <c r="H14" i="4" s="1"/>
  <c r="C13" i="4"/>
  <c r="B13" i="4"/>
  <c r="H13" i="4" s="1"/>
  <c r="C12" i="4"/>
  <c r="I12" i="4" s="1"/>
  <c r="B12" i="4"/>
  <c r="H12" i="4" s="1"/>
  <c r="C11" i="4"/>
  <c r="I11" i="4" s="1"/>
  <c r="B11" i="4"/>
  <c r="H11" i="4" s="1"/>
  <c r="C10" i="4"/>
  <c r="I10" i="4" s="1"/>
  <c r="B10" i="4"/>
  <c r="H10" i="4" s="1"/>
  <c r="C9" i="4"/>
  <c r="I9" i="4" s="1"/>
  <c r="B9" i="4"/>
  <c r="H9" i="4" s="1"/>
  <c r="C8" i="4"/>
  <c r="I8" i="4" s="1"/>
  <c r="B8" i="4"/>
  <c r="H8" i="4" s="1"/>
  <c r="C7" i="4"/>
  <c r="I7" i="4" s="1"/>
  <c r="B7" i="4"/>
  <c r="H7" i="4" s="1"/>
  <c r="C6" i="4"/>
  <c r="I6" i="4" s="1"/>
  <c r="B6" i="4"/>
  <c r="H6" i="4" s="1"/>
  <c r="C5" i="4"/>
  <c r="I5" i="4" s="1"/>
  <c r="E1" i="4"/>
  <c r="L7" i="4" s="1"/>
  <c r="K5" i="3"/>
  <c r="L5" i="3" l="1"/>
  <c r="L15" i="4"/>
  <c r="L14" i="4"/>
  <c r="L13" i="4"/>
  <c r="L12" i="4"/>
  <c r="L11" i="4"/>
  <c r="L9" i="4"/>
  <c r="L10" i="4"/>
  <c r="L8" i="4"/>
  <c r="M7" i="4"/>
  <c r="N7" i="4" s="1"/>
  <c r="L6" i="4"/>
  <c r="L5" i="4"/>
  <c r="J16" i="4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2" i="1"/>
  <c r="D25" i="1"/>
  <c r="D3" i="1"/>
  <c r="D26" i="1"/>
  <c r="D16" i="1"/>
  <c r="D18" i="1"/>
  <c r="D21" i="1"/>
  <c r="D6" i="1"/>
  <c r="D4" i="1"/>
  <c r="D8" i="1"/>
  <c r="D9" i="1"/>
  <c r="D13" i="1"/>
  <c r="D10" i="1"/>
  <c r="D15" i="1"/>
  <c r="D12" i="1"/>
  <c r="D11" i="1"/>
  <c r="D20" i="1"/>
  <c r="D19" i="1"/>
  <c r="D22" i="1"/>
  <c r="D7" i="1"/>
  <c r="D24" i="1"/>
  <c r="D2" i="1"/>
  <c r="D14" i="1"/>
  <c r="D23" i="1"/>
  <c r="D17" i="1"/>
  <c r="D5" i="1"/>
  <c r="D27" i="1"/>
  <c r="M5" i="3" l="1"/>
  <c r="D17" i="4"/>
  <c r="L16" i="4"/>
  <c r="M11" i="4"/>
  <c r="N11" i="4" s="1"/>
  <c r="M12" i="4"/>
  <c r="N12" i="4" s="1"/>
  <c r="M10" i="4"/>
  <c r="N10" i="4" s="1"/>
  <c r="M13" i="4"/>
  <c r="N13" i="4" s="1"/>
  <c r="M5" i="4"/>
  <c r="N5" i="4" s="1"/>
  <c r="M14" i="4"/>
  <c r="N14" i="4" s="1"/>
  <c r="M6" i="4"/>
  <c r="N6" i="4" s="1"/>
  <c r="M15" i="4"/>
  <c r="M9" i="4"/>
  <c r="N9" i="4" s="1"/>
  <c r="M8" i="4"/>
  <c r="N8" i="4" s="1"/>
  <c r="K15" i="4"/>
  <c r="K13" i="4"/>
  <c r="K5" i="4"/>
  <c r="K16" i="4"/>
  <c r="K7" i="4"/>
  <c r="K6" i="4"/>
  <c r="K10" i="4"/>
  <c r="K12" i="4"/>
  <c r="K8" i="4"/>
  <c r="K9" i="4"/>
  <c r="K11" i="4"/>
  <c r="K14" i="4"/>
  <c r="AS1" i="1"/>
  <c r="D5" i="4" s="1"/>
  <c r="D16" i="4" s="1"/>
  <c r="E6" i="4" s="1"/>
  <c r="N5" i="3" l="1"/>
  <c r="E12" i="4"/>
  <c r="E16" i="4"/>
  <c r="E11" i="4"/>
  <c r="E15" i="4"/>
  <c r="E13" i="4"/>
  <c r="E7" i="4"/>
  <c r="E14" i="4"/>
  <c r="E9" i="4"/>
  <c r="E5" i="4"/>
  <c r="E10" i="4"/>
  <c r="E8" i="4"/>
  <c r="M16" i="4"/>
  <c r="N16" i="4" s="1"/>
  <c r="N15" i="4"/>
  <c r="U3" i="1"/>
  <c r="U2" i="1"/>
  <c r="O5" i="3" l="1"/>
  <c r="O14" i="4"/>
  <c r="O9" i="4"/>
  <c r="O11" i="4"/>
  <c r="O6" i="4"/>
  <c r="O12" i="4"/>
  <c r="O16" i="4"/>
  <c r="O7" i="4"/>
  <c r="O10" i="4"/>
  <c r="O13" i="4"/>
  <c r="O5" i="4"/>
  <c r="O8" i="4"/>
  <c r="O15" i="4"/>
  <c r="J22" i="3"/>
  <c r="P5" i="3" l="1"/>
  <c r="Q5" i="3" s="1"/>
  <c r="R5" i="3" s="1"/>
  <c r="S5" i="3" s="1"/>
  <c r="T5" i="3" s="1"/>
  <c r="U5" i="3" s="1"/>
</calcChain>
</file>

<file path=xl/sharedStrings.xml><?xml version="1.0" encoding="utf-8"?>
<sst xmlns="http://schemas.openxmlformats.org/spreadsheetml/2006/main" count="274" uniqueCount="204">
  <si>
    <t>№ п/п</t>
  </si>
  <si>
    <t>Дата поступления</t>
  </si>
  <si>
    <t>Код акта</t>
  </si>
  <si>
    <t>код лаборатории</t>
  </si>
  <si>
    <t>Дата, время отбора</t>
  </si>
  <si>
    <t>Дата, время доставки</t>
  </si>
  <si>
    <t>Наименования пробы (образца)</t>
  </si>
  <si>
    <t>Вид образца</t>
  </si>
  <si>
    <t>Дата изготовления</t>
  </si>
  <si>
    <t>Наименование заявителя</t>
  </si>
  <si>
    <t>Наименование изготовителя (объект)</t>
  </si>
  <si>
    <t>Срок годности</t>
  </si>
  <si>
    <t>Цель исследования</t>
  </si>
  <si>
    <t>Основание документа</t>
  </si>
  <si>
    <t>№ документа</t>
  </si>
  <si>
    <t>от какого числа док-т</t>
  </si>
  <si>
    <t>до какого числа док-т</t>
  </si>
  <si>
    <t>Кем направленно</t>
  </si>
  <si>
    <t>НД регламентирующий</t>
  </si>
  <si>
    <t>Программа испытаний</t>
  </si>
  <si>
    <t>Количество проб (образцов)</t>
  </si>
  <si>
    <t>Объем пробы (образца)</t>
  </si>
  <si>
    <t>1.1 ОИПП</t>
  </si>
  <si>
    <t>1.2 ОИВ</t>
  </si>
  <si>
    <t>1.3 ОФХМИ</t>
  </si>
  <si>
    <t>1.4 ОИВС</t>
  </si>
  <si>
    <t>1.5 ОНИ</t>
  </si>
  <si>
    <t>1.6 ОПТ</t>
  </si>
  <si>
    <t>2. МБЛ</t>
  </si>
  <si>
    <t>3. МБЛ</t>
  </si>
  <si>
    <t>5. ЛРК</t>
  </si>
  <si>
    <t>8. ВЛ</t>
  </si>
  <si>
    <t>9. ООИ</t>
  </si>
  <si>
    <t>Пробу принял</t>
  </si>
  <si>
    <t>Дата выдачи протокола</t>
  </si>
  <si>
    <t>ОА/вне ОА</t>
  </si>
  <si>
    <t>ЕИАС  (ОА)</t>
  </si>
  <si>
    <t>ЕИАС (вне ОА)</t>
  </si>
  <si>
    <t>16:10-16:20</t>
  </si>
  <si>
    <t>вода питьевая централизованного водоснабжения</t>
  </si>
  <si>
    <t>1.1. Вода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</si>
  <si>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13</t>
  </si>
  <si>
    <t>железнодорожный вокзал Тайга - структурное подразделение Западно - Сибирской региональной дирекции железнодорожных вокзалов-структурное подразделение Дирекции железнодорожных вокзалов-филиала ОАО «РЖД», КО-Кузбасс, г. Тайга, ул. Привокзальная, 23 (КДО полу-люкс)</t>
  </si>
  <si>
    <t>ГН</t>
  </si>
  <si>
    <t>ПРЕДПИСАНИЕ</t>
  </si>
  <si>
    <t>№ 41</t>
  </si>
  <si>
    <t>Крохина М.И.</t>
  </si>
  <si>
    <t>ОКБ, ОМЧ, мутность, запах 20/60, привкус, цветность</t>
  </si>
  <si>
    <t xml:space="preserve">1*0,5 л 1*1,0 л </t>
  </si>
  <si>
    <t>Старухина Е.А.</t>
  </si>
  <si>
    <t>1.10. Объекты, источники неионизирующей природы</t>
  </si>
  <si>
    <t>1.11. Биоматериал</t>
  </si>
  <si>
    <t xml:space="preserve">1.15. Иное </t>
  </si>
  <si>
    <t>1.2. Воздух закрытых помещений</t>
  </si>
  <si>
    <t>1.3. Воздух рабочей зоны</t>
  </si>
  <si>
    <t>1.4. Атмосферный воздух</t>
  </si>
  <si>
    <t>1.5. Почва</t>
  </si>
  <si>
    <t>1.6.1 Мясо и мясные продукты</t>
  </si>
  <si>
    <t>1.6.10 Кондитерские изделия</t>
  </si>
  <si>
    <t>1.6.11 Плодоовощная продукция</t>
  </si>
  <si>
    <t>1.6.12 Расфасованная в емкости</t>
  </si>
  <si>
    <t>1.6.13 Прочие</t>
  </si>
  <si>
    <t>1.6.15 Безалкогольные напитки</t>
  </si>
  <si>
    <t>1.6.16 Соки, нектары, сокосодержащие напитки</t>
  </si>
  <si>
    <t>1.6.17 Алкогольные напитки</t>
  </si>
  <si>
    <t>1.6.19 Консервы</t>
  </si>
  <si>
    <t>1.6.2 Птица, яйца и продукты их переработки</t>
  </si>
  <si>
    <t>1.6.22 Биологически активные добавки к пище</t>
  </si>
  <si>
    <t>1.6.23 Соль</t>
  </si>
  <si>
    <t>1.6.3 Молоко и молочные продукты</t>
  </si>
  <si>
    <t>1.6.4 Масложировая продукция, животные и рыбный жиры</t>
  </si>
  <si>
    <t>1.6.5 Рыба, нерыбные объекты промысла и продукты, вырабатываемые</t>
  </si>
  <si>
    <t>1.6.6 Готовые блюда</t>
  </si>
  <si>
    <t>1.6.7 Мукомольные-крупяные изделия</t>
  </si>
  <si>
    <t>1.6.8 Хлебобулочные изделия</t>
  </si>
  <si>
    <t>1.7. Товары и продукция непродовольственного значения</t>
  </si>
  <si>
    <t>1.8. Смывы</t>
  </si>
  <si>
    <t>1.9. Объекты, источники ионизирующей природы</t>
  </si>
  <si>
    <t>ВЛК</t>
  </si>
  <si>
    <t>Договор № 120\811-ЛООИ</t>
  </si>
  <si>
    <t>МСИ</t>
  </si>
  <si>
    <t>ПК</t>
  </si>
  <si>
    <t>СГМ</t>
  </si>
  <si>
    <t>Экспериментальная проверка наличия навыков и профессиональных знаний работников</t>
  </si>
  <si>
    <t>ЭМ</t>
  </si>
  <si>
    <t>ГК</t>
  </si>
  <si>
    <t>Д</t>
  </si>
  <si>
    <t>Задание</t>
  </si>
  <si>
    <t>КОНТРАКТ</t>
  </si>
  <si>
    <t>О</t>
  </si>
  <si>
    <t xml:space="preserve">Письмо </t>
  </si>
  <si>
    <t>Поручение</t>
  </si>
  <si>
    <t>Постановление</t>
  </si>
  <si>
    <t>ПР</t>
  </si>
  <si>
    <t>ОП</t>
  </si>
  <si>
    <t>ПО</t>
  </si>
  <si>
    <t>Ольджигина Е.Н.</t>
  </si>
  <si>
    <t>1.1</t>
  </si>
  <si>
    <t>1.2</t>
  </si>
  <si>
    <t>1.3</t>
  </si>
  <si>
    <t>1.4</t>
  </si>
  <si>
    <t>1.5</t>
  </si>
  <si>
    <t>1.6</t>
  </si>
  <si>
    <t>2</t>
  </si>
  <si>
    <t>3</t>
  </si>
  <si>
    <t>5</t>
  </si>
  <si>
    <t>8</t>
  </si>
  <si>
    <t>9</t>
  </si>
  <si>
    <t>16:10-16:21</t>
  </si>
  <si>
    <t>Западно – Сибирский Территориальный отдел Управления Роспотребнадзора по железнодорожному транспорту  по адресу: г. Новосибирск, ул. Саратовская, 14</t>
  </si>
  <si>
    <t>№ 42</t>
  </si>
  <si>
    <t xml:space="preserve">   </t>
  </si>
  <si>
    <t>ПОКАЗАТЕЛЬ</t>
  </si>
  <si>
    <t>ЗНАЧЕНИЕ</t>
  </si>
  <si>
    <t>DatePlus</t>
  </si>
  <si>
    <t>DateMinus</t>
  </si>
  <si>
    <t>MaxProbeNumb</t>
  </si>
  <si>
    <t>NA</t>
  </si>
  <si>
    <t>ErrorResult</t>
  </si>
  <si>
    <t>+</t>
  </si>
  <si>
    <t>-1.2-2-24-01</t>
  </si>
  <si>
    <t>-1.2-1.3-2-3-5-8-24-05</t>
  </si>
  <si>
    <t>Количество проб</t>
  </si>
  <si>
    <t>CheckCellsRange</t>
  </si>
  <si>
    <t>RowChangedColNum</t>
  </si>
  <si>
    <t>DeptsFirstLitera</t>
  </si>
  <si>
    <t>DeptsLastLitera</t>
  </si>
  <si>
    <t>W</t>
  </si>
  <si>
    <t>AG</t>
  </si>
  <si>
    <t>jkh</t>
  </si>
  <si>
    <t>sdfsd</t>
  </si>
  <si>
    <t>sdf</t>
  </si>
  <si>
    <t>ВСЕГО К ОБНОВЛЕНИЮ</t>
  </si>
  <si>
    <t>asdas</t>
  </si>
  <si>
    <t>hh</t>
  </si>
  <si>
    <t>sd</t>
  </si>
  <si>
    <t>gkjyg</t>
  </si>
  <si>
    <t>;lk</t>
  </si>
  <si>
    <t>lkjln</t>
  </si>
  <si>
    <t>hgij</t>
  </si>
  <si>
    <t>ljl;</t>
  </si>
  <si>
    <t>B2:AM5300</t>
  </si>
  <si>
    <t>ПРИМЕЧАНИЯ</t>
  </si>
  <si>
    <t>Новое примечание.</t>
  </si>
  <si>
    <t>Отделы</t>
  </si>
  <si>
    <t>К подгрузке в файлы отделов</t>
  </si>
  <si>
    <t>На дату:</t>
  </si>
  <si>
    <t>№ пп</t>
  </si>
  <si>
    <t>Наименование</t>
  </si>
  <si>
    <t>Код</t>
  </si>
  <si>
    <t>-||-</t>
  </si>
  <si>
    <t>Абс., строк таблицы</t>
  </si>
  <si>
    <t>Относит., %</t>
  </si>
  <si>
    <t>ИТОГО *</t>
  </si>
  <si>
    <t>Без пересечения строк к подгрузке: **</t>
  </si>
  <si>
    <t>Примечания:</t>
  </si>
  <si>
    <t>** - без учета пересечения строк (см. *)</t>
  </si>
  <si>
    <t>* - одна и та же строка может быть учтена несколько раз для разных отделов</t>
  </si>
  <si>
    <t>опроп</t>
  </si>
  <si>
    <t>Абс., шт.</t>
  </si>
  <si>
    <t>ВСЕГО</t>
  </si>
  <si>
    <t>Нет, шт.</t>
  </si>
  <si>
    <t>Да, шт.</t>
  </si>
  <si>
    <t>из них завершено ***</t>
  </si>
  <si>
    <t>*** - подсчет завершенных / не завершенных проб (есть / отсутствует дата протокола)</t>
  </si>
  <si>
    <t>Нет, % (от Нет+Да)</t>
  </si>
  <si>
    <t>Нет, % (Структура Нет)</t>
  </si>
  <si>
    <t>CopyFrom</t>
  </si>
  <si>
    <t>Примечание</t>
  </si>
  <si>
    <t>Примечание ОПП</t>
  </si>
  <si>
    <t>CopyTo</t>
  </si>
  <si>
    <t>ProbesDepts</t>
  </si>
  <si>
    <t>.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</si>
  <si>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</si>
  <si>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ID_FROM</t>
  </si>
  <si>
    <t>ID_TO</t>
  </si>
  <si>
    <t>PROBE_CODE_FROM</t>
  </si>
  <si>
    <t>PROBE_CODE_TO</t>
  </si>
  <si>
    <t>COLUMNS_NUMBERS</t>
  </si>
  <si>
    <t>CELLS_WARNING_COLOR</t>
  </si>
  <si>
    <t>Обновить</t>
  </si>
  <si>
    <t>DEPTS_MAIN_SHEET_NAME</t>
  </si>
  <si>
    <t>main</t>
  </si>
  <si>
    <t>DEPTS_INFO_SHEET_NAME</t>
  </si>
  <si>
    <t>info</t>
  </si>
  <si>
    <t>SHEET_PASSWORD</t>
  </si>
  <si>
    <t>D:\ФБУЗ_ЦГиЭКО\ИЛЦ\2024\ШАБЛОНЫ\ОТДЕЛЫ\ОТДЕЛ 1.1.xlsm</t>
  </si>
  <si>
    <t>DEPTS_NUMBER</t>
  </si>
  <si>
    <t>D:\ФБУЗ_ЦГиЭКО\ИЛЦ\2024\ШАБЛОНЫ\ОТДЕЛЫ\ОТДЕЛ 1.2.xlsm</t>
  </si>
  <si>
    <t>D:\ФБУЗ_ЦГиЭКО\ИЛЦ\2024\ШАБЛОНЫ\ОТДЕЛЫ\ОТДЕЛ 1.3.xlsm</t>
  </si>
  <si>
    <t>ВНИМАНИЕ!!! ЗАПРЕЩЕНО ВСТАВЛЯТЬ, А ТАКЖЕ УДЯЛЯТЬ СТОЛБЦЫ И СТРОКИ КАК В ОСНОВНОЙ, ТАК И В ДОПОЛНИТЕЛЬНОЙ ТАБЛИЦАХ!!!</t>
  </si>
  <si>
    <t>D:\ФБУЗ_ЦГиЭКО\ИЛЦ\2024\ШАБЛОНЫ\ОТДЕЛЫ\ОТДЕЛ 1.6.xlsm</t>
  </si>
  <si>
    <t>D:\ФБУЗ_ЦГиЭКО\ИЛЦ\2024\ШАБЛОНЫ\ОТДЕЛЫ\ОТДЕЛ 1.4.xlsm</t>
  </si>
  <si>
    <t>D:\ФБУЗ_ЦГиЭКО\ИЛЦ\2024\ШАБЛОНЫ\ОТДЕЛЫ\ОТДЕЛ 1.5.xlsm</t>
  </si>
  <si>
    <t>D:\ФБУЗ_ЦГиЭКО\ИЛЦ\2024\ШАБЛОНЫ\ОТДЕЛЫ\ОТДЕЛ 2.xlsm</t>
  </si>
  <si>
    <t>D:\ФБУЗ_ЦГиЭКО\ИЛЦ\2024\ШАБЛОНЫ\ОТДЕЛЫ\ОТДЕЛ 3.xlsm</t>
  </si>
  <si>
    <t>D:\ФБУЗ_ЦГиЭКО\ИЛЦ\2024\ШАБЛОНЫ\ОТДЕЛЫ\ОТДЕЛ 5.xlsm</t>
  </si>
  <si>
    <t>D:\ФБУЗ_ЦГиЭКО\ИЛЦ\2024\ШАБЛОНЫ\ОТДЕЛЫ\ОТДЕЛ 8.xlsm</t>
  </si>
  <si>
    <t>D:\ФБУЗ_ЦГиЭКО\ИЛЦ\2024\ШАБЛОНЫ\ОТДЕЛЫ\ОТДЕЛ 9.xlsm</t>
  </si>
  <si>
    <t>\:\.txt</t>
  </si>
  <si>
    <t>днрпншдг</t>
  </si>
  <si>
    <t>щлщд</t>
  </si>
  <si>
    <t>send_data_errors_log.txt</t>
  </si>
  <si>
    <t>TXT_SEND_DATA_LOG_FILENAME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</si>
</sst>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[$-419]d\ mmm\ yy;@"/>
  </numFmts>
  <fonts count="17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i/>
      <sz val="14"/>
      <color theme="1"/>
      <name val="Calibri"/>
      <family val="2"/>
      <charset val="204"/>
      <scheme val="minor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4"/>
      <color rgb="FF7030A0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26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1" fillId="2" borderId="2" xfId="0" applyNumberFormat="1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1" xfId="0" applyNumberFormat="1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4" fontId="3" fillId="0" borderId="4" xfId="0" applyNumberFormat="1" applyFont="1" applyBorder="1" applyAlignment="1">
      <alignment horizontal="center" vertical="center" wrapText="1"/>
    </xf>
    <xf numFmtId="0" fontId="3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4" fontId="0" fillId="0" borderId="0" xfId="0" applyNumberFormat="1"/>
    <xf numFmtId="0" fontId="1" fillId="4" borderId="5" xfId="0" applyFont="1" applyFill="1" applyBorder="1" applyAlignment="1">
      <alignment horizontal="center" vertical="center" wrapText="1"/>
    </xf>
    <xf numFmtId="49" fontId="1" fillId="4" borderId="3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left" vertical="center" wrapText="1"/>
      <protection locked="0"/>
    </xf>
    <xf numFmtId="164" fontId="1" fillId="4" borderId="1" xfId="0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 shrinkToFit="1"/>
    </xf>
    <xf numFmtId="14" fontId="1" fillId="5" borderId="1" xfId="0" applyNumberFormat="1" applyFont="1" applyFill="1" applyBorder="1" applyAlignment="1">
      <alignment horizontal="center" vertical="center" wrapText="1"/>
    </xf>
    <xf numFmtId="49" fontId="1" fillId="6" borderId="3" xfId="0" applyNumberFormat="1" applyFont="1" applyFill="1" applyBorder="1" applyAlignment="1">
      <alignment horizontal="center" vertical="center"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" fillId="0" borderId="4" xfId="0" applyNumberFormat="1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2" fontId="0" fillId="0" borderId="4" xfId="0" applyNumberFormat="1" applyBorder="1" applyAlignment="1">
      <alignment horizontal="center" vertical="center"/>
    </xf>
    <xf numFmtId="0" fontId="12" fillId="0" borderId="4" xfId="0" applyFont="1" applyBorder="1" applyAlignment="1">
      <alignment horizontal="left" vertical="center"/>
    </xf>
    <xf numFmtId="0" fontId="12" fillId="0" borderId="4" xfId="0" quotePrefix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14" fontId="1" fillId="4" borderId="1" xfId="0" applyNumberFormat="1" applyFont="1" applyFill="1" applyBorder="1" applyAlignment="1">
      <alignment horizontal="center" vertical="center" wrapText="1"/>
    </xf>
    <xf numFmtId="0" fontId="13" fillId="0" borderId="11" xfId="0" applyFont="1" applyBorder="1"/>
    <xf numFmtId="14" fontId="14" fillId="0" borderId="11" xfId="0" applyNumberFormat="1" applyFont="1" applyBorder="1"/>
    <xf numFmtId="49" fontId="3" fillId="0" borderId="4" xfId="0" applyNumberFormat="1" applyFont="1" applyBorder="1" applyAlignment="1">
      <alignment horizontal="center" vertical="center" wrapText="1"/>
    </xf>
    <xf numFmtId="49" fontId="7" fillId="6" borderId="5" xfId="0" applyNumberFormat="1" applyFont="1" applyFill="1" applyBorder="1" applyAlignment="1">
      <alignment horizontal="center" vertical="center"/>
    </xf>
    <xf numFmtId="49" fontId="10" fillId="6" borderId="5" xfId="0" applyNumberFormat="1" applyFont="1" applyFill="1" applyBorder="1" applyAlignment="1" applyProtection="1">
      <alignment horizontal="center" vertical="center" wrapText="1"/>
    </xf>
    <xf numFmtId="1" fontId="10" fillId="6" borderId="5" xfId="0" applyNumberFormat="1" applyFont="1" applyFill="1" applyBorder="1" applyAlignment="1" applyProtection="1">
      <alignment horizontal="center" vertical="center" wrapText="1"/>
    </xf>
    <xf numFmtId="49" fontId="7" fillId="5" borderId="5" xfId="0" applyNumberFormat="1" applyFont="1" applyFill="1" applyBorder="1" applyAlignment="1">
      <alignment horizontal="left" vertical="center"/>
    </xf>
    <xf numFmtId="1" fontId="7" fillId="5" borderId="5" xfId="0" applyNumberFormat="1" applyFont="1" applyFill="1" applyBorder="1" applyAlignment="1">
      <alignment horizontal="center" vertical="center"/>
    </xf>
    <xf numFmtId="1" fontId="10" fillId="5" borderId="5" xfId="0" applyNumberFormat="1" applyFont="1" applyFill="1" applyBorder="1" applyAlignment="1" applyProtection="1">
      <alignment horizontal="center" vertical="center" wrapText="1"/>
    </xf>
    <xf numFmtId="1" fontId="7" fillId="6" borderId="5" xfId="0" applyNumberFormat="1" applyFont="1" applyFill="1" applyBorder="1" applyAlignment="1">
      <alignment horizontal="left" vertical="center"/>
    </xf>
    <xf numFmtId="1" fontId="10" fillId="5" borderId="5" xfId="0" quotePrefix="1" applyNumberFormat="1" applyFont="1" applyFill="1" applyBorder="1" applyAlignment="1" applyProtection="1">
      <alignment horizontal="center" vertical="center" wrapText="1"/>
    </xf>
    <xf numFmtId="0" fontId="0" fillId="0" borderId="0" xfId="0" quotePrefix="1"/>
    <xf numFmtId="0" fontId="8" fillId="0" borderId="0" xfId="0" applyFont="1"/>
    <xf numFmtId="0" fontId="15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8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49" fontId="7" fillId="6" borderId="11" xfId="0" applyNumberFormat="1" applyFont="1" applyFill="1" applyBorder="1" applyAlignment="1">
      <alignment horizontal="left" vertical="center"/>
    </xf>
    <xf numFmtId="0" fontId="0" fillId="6" borderId="12" xfId="0" applyFill="1" applyBorder="1" applyAlignment="1"/>
    <xf numFmtId="0" fontId="0" fillId="6" borderId="13" xfId="0" applyFill="1" applyBorder="1" applyAlignment="1"/>
  </cellXfs>
  <cellStyles count="1">
    <cellStyle name="Обычный" xfId="0" builtinId="0"/>
  </cellStyles>
  <dxfs count="14">
    <dxf>
      <font>
        <b/>
        <i val="0"/>
        <color rgb="FFFF0000"/>
      </font>
      <fill>
        <patternFill>
          <bgColor theme="7" tint="0.59996337778862885"/>
        </patternFill>
      </fill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left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sz val="12"/>
      </font>
      <alignment horizontal="center" vertical="center" textRotation="0" wrapText="1" indent="0" justifyLastLine="0" shrinkToFit="0" readingOrder="0"/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8" tint="0.59996337778862885"/>
        </patternFill>
      </fill>
    </dxf>
    <dxf>
      <font>
        <b/>
        <i/>
        <color rgb="FFFF0000"/>
      </font>
      <fill>
        <patternFill>
          <bgColor theme="6" tint="0.39994506668294322"/>
        </patternFill>
      </fill>
    </dxf>
    <dxf>
      <font>
        <b/>
        <i/>
        <color rgb="FFFF0000"/>
      </font>
      <fill>
        <patternFill>
          <bgColor theme="4" tint="0.79998168889431442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39994506668294322"/>
        </patternFill>
      </fill>
    </dxf>
    <dxf>
      <font>
        <b/>
        <i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0</xdr:colOff>
          <xdr:row>0</xdr:row>
          <xdr:rowOff>38100</xdr:rowOff>
        </xdr:from>
        <xdr:to>
          <xdr:col>62</xdr:col>
          <xdr:colOff>257175</xdr:colOff>
          <xdr:row>0</xdr:row>
          <xdr:rowOff>581025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ОТПРАВИТЬ ДАННЫЕ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1514475</xdr:colOff>
          <xdr:row>0</xdr:row>
          <xdr:rowOff>0</xdr:rowOff>
        </xdr:from>
        <xdr:to>
          <xdr:col>7</xdr:col>
          <xdr:colOff>400050</xdr:colOff>
          <xdr:row>0</xdr:row>
          <xdr:rowOff>1266825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ПУТЬ К ЭКСЕЛЬ-ФАЙЛУ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2" displayName="Таблица2" ref="A1:D31" totalsRowShown="0" headerRowDxfId="6" dataDxfId="5">
  <autoFilter ref="A1:D31"/>
  <tableColumns count="4">
    <tableColumn id="1" name="Вид образца" dataDxfId="4"/>
    <tableColumn id="2" name="Цель исследования" dataDxfId="3"/>
    <tableColumn id="3" name="Основание документа" dataDxfId="2"/>
    <tableColumn id="4" name="Пробу принял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D1048576"/>
  <sheetViews>
    <sheetView tabSelected="1" topLeftCell="AM1" zoomScale="70" zoomScaleNormal="70" workbookViewId="0">
      <pane ySplit="1" topLeftCell="A2" activePane="bottomLeft" state="frozen"/>
      <selection pane="bottomLeft" activeCell="BH8" sqref="BH8"/>
    </sheetView>
  </sheetViews>
  <sheetFormatPr defaultRowHeight="15" x14ac:dyDescent="0.25"/>
  <cols>
    <col min="1" max="1" width="14.42578125" customWidth="1"/>
    <col min="2" max="2" width="21.42578125" customWidth="1"/>
    <col min="3" max="3" width="15.5703125" customWidth="1"/>
    <col min="4" max="4" width="17" customWidth="1"/>
    <col min="5" max="5" width="14.85546875" customWidth="1"/>
    <col min="6" max="6" width="15.42578125" customWidth="1"/>
    <col min="7" max="7" width="34.42578125" customWidth="1"/>
    <col min="8" max="8" width="28.85546875" customWidth="1"/>
    <col min="9" max="9" width="15.42578125" customWidth="1"/>
    <col min="10" max="10" width="54.28515625" customWidth="1"/>
    <col min="11" max="11" width="52.42578125" customWidth="1"/>
    <col min="12" max="12" width="14.42578125" customWidth="1"/>
    <col min="13" max="13" width="23" customWidth="1"/>
    <col min="14" max="14" width="21.85546875" customWidth="1"/>
    <col min="15" max="15" width="13.140625" customWidth="1"/>
    <col min="16" max="16" width="19.140625" customWidth="1"/>
    <col min="17" max="17" width="19.28515625" customWidth="1"/>
    <col min="18" max="18" width="22.140625" customWidth="1"/>
    <col min="19" max="19" width="24.42578125" customWidth="1"/>
    <col min="20" max="20" width="45.140625" customWidth="1"/>
    <col min="21" max="21" width="23" customWidth="1"/>
    <col min="22" max="22" width="11.7109375" customWidth="1"/>
    <col min="23" max="23" width="10.140625" customWidth="1"/>
    <col min="24" max="24" width="9.42578125" customWidth="1"/>
    <col min="25" max="25" width="13" customWidth="1"/>
    <col min="26" max="26" width="9.28515625" customWidth="1"/>
    <col min="27" max="27" width="10.7109375" customWidth="1"/>
    <col min="28" max="30" width="9.7109375" customWidth="1"/>
    <col min="31" max="31" width="8.5703125" customWidth="1"/>
    <col min="32" max="32" width="9" customWidth="1"/>
    <col min="33" max="33" width="10" customWidth="1"/>
    <col min="34" max="34" width="19.85546875" customWidth="1"/>
    <col min="35" max="35" width="22.7109375" customWidth="1"/>
    <col min="36" max="36" width="17.7109375" customWidth="1"/>
    <col min="37" max="37" width="18.7109375" customWidth="1"/>
    <col min="38" max="38" width="17.7109375" customWidth="1"/>
    <col min="39" max="39" width="34.5703125" customWidth="1"/>
    <col min="40" max="44" width="17.7109375" customWidth="1"/>
    <col min="45" max="45" width="15" customWidth="1"/>
    <col min="46" max="47" width="12.140625" bestFit="1" customWidth="1"/>
    <col min="48" max="48" width="14.5703125" customWidth="1"/>
    <col min="49" max="49" width="12.140625" bestFit="1" customWidth="1"/>
    <col min="50" max="50" width="14.5703125" customWidth="1"/>
    <col min="51" max="55" width="12.140625" bestFit="1" customWidth="1"/>
    <col min="56" max="56" width="25.85546875" customWidth="1"/>
  </cols>
  <sheetData>
    <row r="1" spans="1:56" ht="47.25" x14ac:dyDescent="0.25">
      <c r="A1" s="1" t="s">
        <v>0</v>
      </c>
      <c r="B1" s="29" t="s">
        <v>1</v>
      </c>
      <c r="C1" s="2" t="s">
        <v>2</v>
      </c>
      <c r="D1" s="26" t="s">
        <v>3</v>
      </c>
      <c r="E1" s="3" t="s">
        <v>4</v>
      </c>
      <c r="F1" s="30" t="s">
        <v>5</v>
      </c>
      <c r="G1" s="1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5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7" t="s">
        <v>18</v>
      </c>
      <c r="T1" s="7" t="s">
        <v>19</v>
      </c>
      <c r="U1" s="27" t="s">
        <v>20</v>
      </c>
      <c r="V1" s="1" t="s">
        <v>21</v>
      </c>
      <c r="W1" s="28" t="s">
        <v>22</v>
      </c>
      <c r="X1" s="28" t="s">
        <v>23</v>
      </c>
      <c r="Y1" s="28" t="s">
        <v>24</v>
      </c>
      <c r="Z1" s="28" t="s">
        <v>25</v>
      </c>
      <c r="AA1" s="28" t="s">
        <v>26</v>
      </c>
      <c r="AB1" s="28" t="s">
        <v>27</v>
      </c>
      <c r="AC1" s="28" t="s">
        <v>28</v>
      </c>
      <c r="AD1" s="28" t="s">
        <v>29</v>
      </c>
      <c r="AE1" s="28" t="s">
        <v>30</v>
      </c>
      <c r="AF1" s="28" t="s">
        <v>31</v>
      </c>
      <c r="AG1" s="28" t="s">
        <v>32</v>
      </c>
      <c r="AH1" s="1" t="s">
        <v>33</v>
      </c>
      <c r="AI1" s="49" t="s">
        <v>34</v>
      </c>
      <c r="AJ1" s="1" t="s">
        <v>35</v>
      </c>
      <c r="AK1" s="8" t="s">
        <v>36</v>
      </c>
      <c r="AL1" s="8" t="s">
        <v>37</v>
      </c>
      <c r="AM1" s="8" t="s">
        <v>142</v>
      </c>
      <c r="AN1" s="8" t="s">
        <v>172</v>
      </c>
      <c r="AO1" s="8" t="s">
        <v>172</v>
      </c>
      <c r="AP1" s="8" t="s">
        <v>172</v>
      </c>
      <c r="AQ1" s="8" t="s">
        <v>172</v>
      </c>
      <c r="AR1" s="8" t="s">
        <v>172</v>
      </c>
      <c r="AS1" s="27" t="str">
        <f>CONCATENATE("Обновить для ",info!K3)</f>
        <v>Обновить для 1.1</v>
      </c>
      <c r="AT1" s="27" t="str">
        <f>CONCATENATE("Обновить для ",info!L3)</f>
        <v>Обновить для 1.2</v>
      </c>
      <c r="AU1" s="27" t="str">
        <f>CONCATENATE("Обновить для ",info!M3)</f>
        <v>Обновить для 1.3</v>
      </c>
      <c r="AV1" s="27" t="str">
        <f>CONCATENATE("Обновить для ",info!N3)</f>
        <v>Обновить для 1.4</v>
      </c>
      <c r="AW1" s="27" t="str">
        <f>CONCATENATE("Обновить для ",info!O3)</f>
        <v>Обновить для 1.5</v>
      </c>
      <c r="AX1" s="27" t="str">
        <f>CONCATENATE("Обновить для ",info!P3)</f>
        <v>Обновить для 1.6</v>
      </c>
      <c r="AY1" s="27" t="str">
        <f>CONCATENATE("Обновить для ",info!Q3)</f>
        <v>Обновить для 2</v>
      </c>
      <c r="AZ1" s="27" t="str">
        <f>CONCATENATE("Обновить для ",info!R3)</f>
        <v>Обновить для 3</v>
      </c>
      <c r="BA1" s="27" t="str">
        <f>CONCATENATE("Обновить для ",info!S3)</f>
        <v>Обновить для 5</v>
      </c>
      <c r="BB1" s="27" t="str">
        <f>CONCATENATE("Обновить для ",info!T3)</f>
        <v>Обновить для 8</v>
      </c>
      <c r="BC1" s="27" t="str">
        <f>CONCATENATE("Обновить для ",info!U3)</f>
        <v>Обновить для 9</v>
      </c>
      <c r="BD1" s="26" t="s">
        <v>132</v>
      </c>
    </row>
    <row r="2" spans="1:56" ht="110.25" x14ac:dyDescent="0.25">
      <c r="A2" s="9">
        <v>1</v>
      </c>
      <c r="B2" s="10">
        <v>45292</v>
      </c>
      <c r="C2" s="11">
        <v>1</v>
      </c>
      <c r="D2" s="18" t="str">
        <f>GetCode(W2:AG2,info!$K$3:$U$3,B2,"-")</f>
        <v>-1.1-1.2-1.4-1.5-24-01</v>
      </c>
      <c r="E2" s="12" t="s">
        <v>38</v>
      </c>
      <c r="F2" s="12">
        <v>0.79861111111111116</v>
      </c>
      <c r="G2" s="13" t="s">
        <v>39</v>
      </c>
      <c r="H2" s="14" t="s">
        <v>50</v>
      </c>
      <c r="I2" s="15"/>
      <c r="J2" s="16" t="s">
        <v>41</v>
      </c>
      <c r="K2" s="13" t="s">
        <v>42</v>
      </c>
      <c r="L2" s="13"/>
      <c r="M2" s="13" t="s">
        <v>43</v>
      </c>
      <c r="N2" s="13" t="s">
        <v>44</v>
      </c>
      <c r="O2" s="13" t="s">
        <v>45</v>
      </c>
      <c r="P2" s="17">
        <v>45285</v>
      </c>
      <c r="Q2" s="17">
        <v>44936</v>
      </c>
      <c r="R2" s="14" t="s">
        <v>46</v>
      </c>
      <c r="S2" s="13"/>
      <c r="T2" s="13" t="s">
        <v>47</v>
      </c>
      <c r="U2" s="13">
        <f>SUM(W2:AG2)</f>
        <v>4</v>
      </c>
      <c r="V2" s="13" t="s">
        <v>48</v>
      </c>
      <c r="W2" s="13">
        <v>1</v>
      </c>
      <c r="X2" s="13">
        <v>1</v>
      </c>
      <c r="Y2" s="13"/>
      <c r="Z2" s="13">
        <v>1</v>
      </c>
      <c r="AA2" s="13">
        <v>1</v>
      </c>
      <c r="AB2" s="13"/>
      <c r="AC2" s="13"/>
      <c r="AD2" s="13"/>
      <c r="AE2" s="13"/>
      <c r="AF2" s="13"/>
      <c r="AG2" s="13"/>
      <c r="AH2" s="13" t="s">
        <v>49</v>
      </c>
      <c r="AI2" s="17">
        <v>45292</v>
      </c>
      <c r="AJ2" s="17"/>
      <c r="AK2" s="18"/>
      <c r="AL2" s="18"/>
      <c r="AM2" s="39"/>
      <c r="AN2" s="18"/>
      <c r="AO2" s="18"/>
      <c r="AP2" s="18"/>
      <c r="AQ2" s="18"/>
      <c r="AR2" s="18"/>
      <c r="AS2" s="13">
        <v>1</v>
      </c>
      <c r="AT2" s="13">
        <v>1</v>
      </c>
      <c r="AU2" s="13"/>
      <c r="AV2" s="13">
        <v>1</v>
      </c>
      <c r="AW2" s="13">
        <v>1</v>
      </c>
      <c r="AX2" s="13"/>
      <c r="AY2" s="13"/>
      <c r="AZ2" s="13"/>
      <c r="BA2" s="13"/>
      <c r="BB2" s="13"/>
      <c r="BC2" s="13"/>
      <c r="BD2" s="38">
        <f>SUM(AS2:BC2)</f>
        <v>4</v>
      </c>
    </row>
    <row r="3" spans="1:56" ht="110.25" x14ac:dyDescent="0.25">
      <c r="A3" s="9">
        <v>2</v>
      </c>
      <c r="B3" s="10">
        <v>45293</v>
      </c>
      <c r="C3" s="11">
        <v>2</v>
      </c>
      <c r="D3" s="18" t="str">
        <f>GetCode(W3:AG3,info!$K$3:$U$3,B3,"-")</f>
        <v>-1.2-1.3-2-3-5-8-24-01</v>
      </c>
      <c r="E3" s="12" t="s">
        <v>108</v>
      </c>
      <c r="F3" s="12">
        <v>0.84027777777777801</v>
      </c>
      <c r="G3" s="13" t="s">
        <v>39</v>
      </c>
      <c r="H3" s="14" t="s">
        <v>40</v>
      </c>
      <c r="I3" s="15"/>
      <c r="J3" s="16" t="s">
        <v>109</v>
      </c>
      <c r="K3" s="13" t="s">
        <v>42</v>
      </c>
      <c r="L3" s="13"/>
      <c r="M3" s="13" t="s">
        <v>43</v>
      </c>
      <c r="N3" s="13" t="s">
        <v>44</v>
      </c>
      <c r="O3" s="13" t="s">
        <v>110</v>
      </c>
      <c r="P3" s="17">
        <v>45285</v>
      </c>
      <c r="Q3" s="17">
        <v>44936</v>
      </c>
      <c r="R3" s="14" t="s">
        <v>46</v>
      </c>
      <c r="S3" s="13"/>
      <c r="T3" s="13" t="s">
        <v>47</v>
      </c>
      <c r="U3" s="13">
        <f>SUM(W3:AG3)</f>
        <v>1158</v>
      </c>
      <c r="V3" s="13" t="s">
        <v>48</v>
      </c>
      <c r="W3" s="13"/>
      <c r="X3" s="13">
        <v>333</v>
      </c>
      <c r="Y3" s="13">
        <v>123</v>
      </c>
      <c r="Z3" s="13"/>
      <c r="AA3" s="13"/>
      <c r="AB3" s="13" t="s">
        <v>111</v>
      </c>
      <c r="AC3" s="13">
        <v>9</v>
      </c>
      <c r="AD3" s="13">
        <v>359</v>
      </c>
      <c r="AE3" s="13">
        <v>1</v>
      </c>
      <c r="AF3" s="13">
        <v>333</v>
      </c>
      <c r="AG3" s="13"/>
      <c r="AH3" s="13" t="s">
        <v>49</v>
      </c>
      <c r="AI3" s="17">
        <v>45480</v>
      </c>
      <c r="AJ3" s="17"/>
      <c r="AK3" s="18"/>
      <c r="AL3" s="18"/>
      <c r="AM3" s="39"/>
      <c r="AN3" s="18"/>
      <c r="AO3" s="18"/>
      <c r="AP3" s="18"/>
      <c r="AQ3" s="18"/>
      <c r="AR3" s="18"/>
      <c r="AS3" s="13"/>
      <c r="AT3" s="13">
        <v>1</v>
      </c>
      <c r="AU3" s="13">
        <v>1</v>
      </c>
      <c r="AV3" s="13"/>
      <c r="AW3" s="13"/>
      <c r="AX3" s="13"/>
      <c r="AY3" s="13">
        <v>1</v>
      </c>
      <c r="AZ3" s="13">
        <v>1</v>
      </c>
      <c r="BA3" s="13">
        <v>1</v>
      </c>
      <c r="BB3" s="13">
        <v>1</v>
      </c>
      <c r="BC3" s="13"/>
      <c r="BD3" s="38">
        <f t="shared" ref="BD3:BD33" si="0">SUM(AS3:BC3)</f>
        <v>6</v>
      </c>
    </row>
    <row r="4" spans="1:56" ht="15.75" x14ac:dyDescent="0.25">
      <c r="B4" s="10">
        <v>45294</v>
      </c>
      <c r="D4" s="18" t="str">
        <f>GetCode(W4:AG4,info!$K$3:$U$3,B4,"-")</f>
        <v>-1.1-1.2-24-01</v>
      </c>
      <c r="W4" s="13">
        <v>1</v>
      </c>
      <c r="X4" s="13">
        <v>1</v>
      </c>
      <c r="Y4" s="13"/>
      <c r="Z4" s="13"/>
      <c r="AA4" s="13"/>
      <c r="AB4" s="13"/>
      <c r="AC4" s="13"/>
      <c r="AD4" s="13"/>
      <c r="AE4" s="13"/>
      <c r="AF4" s="13"/>
      <c r="AG4" s="13"/>
      <c r="AK4" t="s">
        <v>140</v>
      </c>
      <c r="AM4" t="s">
        <v>143</v>
      </c>
      <c r="AS4">
        <v>1</v>
      </c>
      <c r="AT4">
        <v>1</v>
      </c>
      <c r="AU4">
        <v>1</v>
      </c>
      <c r="AY4">
        <v>1</v>
      </c>
      <c r="AZ4">
        <v>1</v>
      </c>
      <c r="BA4">
        <v>1</v>
      </c>
      <c r="BB4">
        <v>1</v>
      </c>
      <c r="BD4">
        <f t="shared" si="0"/>
        <v>7</v>
      </c>
    </row>
    <row r="5" spans="1:56" ht="15.75" x14ac:dyDescent="0.25">
      <c r="B5" s="10">
        <v>45295</v>
      </c>
      <c r="D5" s="18" t="str">
        <f>GetCode(W5:AG5,info!$K$3:$U$3,B5,"-")</f>
        <v>-1.2-24-01</v>
      </c>
      <c r="H5" t="s">
        <v>129</v>
      </c>
      <c r="X5">
        <v>1</v>
      </c>
      <c r="AK5" t="s">
        <v>201</v>
      </c>
      <c r="AM5" t="s">
        <v>200</v>
      </c>
      <c r="AT5">
        <v>1</v>
      </c>
      <c r="BD5">
        <f t="shared" si="0"/>
        <v>1</v>
      </c>
    </row>
    <row r="6" spans="1:56" ht="15.75" x14ac:dyDescent="0.25">
      <c r="B6" s="24">
        <v>45482</v>
      </c>
      <c r="D6" s="18" t="str">
        <f>GetCode(W6:AG6,info!$K$3:$U$3,B6,"-")</f>
        <v>-1.3-24-07</v>
      </c>
      <c r="Y6">
        <v>3</v>
      </c>
      <c r="AK6" t="s">
        <v>139</v>
      </c>
      <c r="AU6">
        <v>1</v>
      </c>
      <c r="BD6">
        <f t="shared" si="0"/>
        <v>1</v>
      </c>
    </row>
    <row r="7" spans="1:56" ht="15.75" x14ac:dyDescent="0.25">
      <c r="B7" s="24"/>
      <c r="D7" s="18" t="str">
        <f>GetCode(W7:AG7,info!$K$3:$U$3,B7,"-")</f>
        <v>NA</v>
      </c>
      <c r="BD7">
        <f t="shared" si="0"/>
        <v>0</v>
      </c>
    </row>
    <row r="8" spans="1:56" ht="15.75" x14ac:dyDescent="0.25">
      <c r="B8" s="24"/>
      <c r="D8" s="18" t="str">
        <f>GetCode(W8:AG8,info!$K$3:$U$3,B8,"-")</f>
        <v>NA</v>
      </c>
      <c r="H8" t="s">
        <v>133</v>
      </c>
      <c r="AA8">
        <v>12</v>
      </c>
      <c r="AD8">
        <v>44</v>
      </c>
      <c r="AH8" t="s">
        <v>136</v>
      </c>
      <c r="AK8" t="s">
        <v>134</v>
      </c>
      <c r="AW8">
        <v>1</v>
      </c>
      <c r="AZ8">
        <v>1</v>
      </c>
      <c r="BD8">
        <f t="shared" si="0"/>
        <v>2</v>
      </c>
    </row>
    <row r="9" spans="1:56" ht="15.75" x14ac:dyDescent="0.25">
      <c r="B9" s="24"/>
      <c r="D9" s="18" t="str">
        <f>GetCode(W9:AG9,info!$K$3:$U$3,B9,"-")</f>
        <v>NA</v>
      </c>
      <c r="AL9" t="s">
        <v>135</v>
      </c>
      <c r="BD9">
        <f t="shared" si="0"/>
        <v>0</v>
      </c>
    </row>
    <row r="10" spans="1:56" ht="15.75" x14ac:dyDescent="0.25">
      <c r="B10" s="24"/>
      <c r="D10" s="18" t="str">
        <f>GetCode(W10:AG10,info!$K$3:$U$3,B10,"-")</f>
        <v>NA</v>
      </c>
      <c r="BD10">
        <f t="shared" si="0"/>
        <v>0</v>
      </c>
    </row>
    <row r="11" spans="1:56" ht="15.75" x14ac:dyDescent="0.25">
      <c r="B11" s="24">
        <v>45421</v>
      </c>
      <c r="D11" s="18" t="str">
        <f>GetCode(W11:AG11,info!$K$3:$U$3,B11,"-")</f>
        <v>-1.4-24-05</v>
      </c>
      <c r="Z11">
        <v>1</v>
      </c>
      <c r="AL11" t="s">
        <v>158</v>
      </c>
      <c r="AS11">
        <v>1</v>
      </c>
      <c r="AT11">
        <v>1</v>
      </c>
      <c r="AV11">
        <v>1</v>
      </c>
      <c r="BD11">
        <f t="shared" si="0"/>
        <v>3</v>
      </c>
    </row>
    <row r="12" spans="1:56" ht="15.75" x14ac:dyDescent="0.25">
      <c r="B12" s="24"/>
      <c r="D12" s="18" t="str">
        <f>GetCode(W12:AG12,info!$K$3:$U$3,B12,"-")</f>
        <v>NA</v>
      </c>
      <c r="BD12">
        <f t="shared" si="0"/>
        <v>0</v>
      </c>
    </row>
    <row r="13" spans="1:56" ht="15.75" x14ac:dyDescent="0.25">
      <c r="B13" s="24"/>
      <c r="D13" s="18" t="str">
        <f>GetCode(W13:AG13,info!$K$3:$U$3,B13,"-")</f>
        <v>NA</v>
      </c>
      <c r="AY13">
        <v>1</v>
      </c>
      <c r="BD13">
        <f t="shared" si="0"/>
        <v>1</v>
      </c>
    </row>
    <row r="14" spans="1:56" ht="15.75" x14ac:dyDescent="0.25">
      <c r="B14" s="24"/>
      <c r="D14" s="18" t="str">
        <f>GetCode(W14:AG14,info!$K$3:$U$3,B14,"-")</f>
        <v>NA</v>
      </c>
      <c r="BD14">
        <f t="shared" si="0"/>
        <v>0</v>
      </c>
    </row>
    <row r="15" spans="1:56" ht="15.75" x14ac:dyDescent="0.25">
      <c r="B15" s="24"/>
      <c r="D15" s="18" t="str">
        <f>GetCode(W15:AG15,info!$K$3:$U$3,B15,"-")</f>
        <v>NA</v>
      </c>
      <c r="BD15">
        <f t="shared" si="0"/>
        <v>0</v>
      </c>
    </row>
    <row r="16" spans="1:56" ht="15.75" x14ac:dyDescent="0.25">
      <c r="B16" s="24"/>
      <c r="D16" s="18" t="str">
        <f>GetCode(W16:AG16,info!$K$3:$U$3,B16,"-")</f>
        <v>NA</v>
      </c>
      <c r="AF16">
        <v>1</v>
      </c>
      <c r="AG16">
        <v>33</v>
      </c>
      <c r="AJ16" t="s">
        <v>137</v>
      </c>
      <c r="AK16" t="s">
        <v>138</v>
      </c>
      <c r="BA16">
        <v>1</v>
      </c>
      <c r="BB16">
        <v>1</v>
      </c>
      <c r="BC16">
        <v>1</v>
      </c>
      <c r="BD16">
        <f t="shared" si="0"/>
        <v>3</v>
      </c>
    </row>
    <row r="17" spans="2:56" ht="15.75" x14ac:dyDescent="0.25">
      <c r="B17" s="24"/>
      <c r="D17" s="18" t="str">
        <f>GetCode(W17:AG17,info!$K$3:$U$3,B17,"-")</f>
        <v>NA</v>
      </c>
      <c r="BD17">
        <f t="shared" si="0"/>
        <v>0</v>
      </c>
    </row>
    <row r="18" spans="2:56" ht="15.75" x14ac:dyDescent="0.25">
      <c r="B18" s="24"/>
      <c r="D18" s="18" t="str">
        <f>GetCode(W18:AG18,info!$K$3:$U$3,B18,"-")</f>
        <v>NA</v>
      </c>
      <c r="BD18">
        <f t="shared" si="0"/>
        <v>0</v>
      </c>
    </row>
    <row r="19" spans="2:56" ht="15.75" x14ac:dyDescent="0.25">
      <c r="B19" s="24">
        <v>45296</v>
      </c>
      <c r="D19" s="18" t="str">
        <f>GetCode(W19:AG19,info!$K$3:$U$3,B19,"-")</f>
        <v>-24-01</v>
      </c>
      <c r="BD19">
        <f t="shared" si="0"/>
        <v>0</v>
      </c>
    </row>
    <row r="20" spans="2:56" ht="15.75" x14ac:dyDescent="0.25">
      <c r="B20" s="24"/>
      <c r="D20" s="18" t="str">
        <f>GetCode(W20:AG20,info!$K$3:$U$3,B20,"-")</f>
        <v>NA</v>
      </c>
      <c r="BD20">
        <f t="shared" si="0"/>
        <v>0</v>
      </c>
    </row>
    <row r="21" spans="2:56" ht="15.75" x14ac:dyDescent="0.25">
      <c r="B21" s="24"/>
      <c r="D21" s="18" t="str">
        <f>GetCode(W21:AG21,info!$K$3:$U$3,B21,"-")</f>
        <v>NA</v>
      </c>
      <c r="K21" t="s">
        <v>130</v>
      </c>
      <c r="AS21">
        <v>1</v>
      </c>
      <c r="BD21">
        <f t="shared" si="0"/>
        <v>1</v>
      </c>
    </row>
    <row r="22" spans="2:56" ht="15.75" x14ac:dyDescent="0.25">
      <c r="B22" s="24"/>
      <c r="D22" s="18" t="str">
        <f>GetCode(W22:AG22,info!$K$3:$U$3,B22,"-")</f>
        <v>NA</v>
      </c>
      <c r="BD22">
        <f t="shared" si="0"/>
        <v>0</v>
      </c>
    </row>
    <row r="23" spans="2:56" ht="15.75" x14ac:dyDescent="0.25">
      <c r="B23" s="24"/>
      <c r="D23" s="18" t="str">
        <f>GetCode(W23:AG23,info!$K$3:$U$3,B23,"-")</f>
        <v>NA</v>
      </c>
      <c r="Y23">
        <v>1</v>
      </c>
      <c r="AU23">
        <v>1</v>
      </c>
      <c r="BD23">
        <f t="shared" si="0"/>
        <v>1</v>
      </c>
    </row>
    <row r="24" spans="2:56" ht="15.75" x14ac:dyDescent="0.25">
      <c r="B24" s="24"/>
      <c r="D24" s="18" t="str">
        <f>GetCode(W24:AG24,info!$K$3:$U$3,B24,"-")</f>
        <v>NA</v>
      </c>
      <c r="AY24">
        <v>1</v>
      </c>
      <c r="BD24">
        <f t="shared" si="0"/>
        <v>1</v>
      </c>
    </row>
    <row r="25" spans="2:56" ht="15.75" x14ac:dyDescent="0.25">
      <c r="B25" s="24"/>
      <c r="D25" s="18" t="str">
        <f>GetCode(W25:AG25,info!$K$3:$U$3,B25,"-")</f>
        <v>NA</v>
      </c>
      <c r="BD25">
        <f t="shared" si="0"/>
        <v>0</v>
      </c>
    </row>
    <row r="26" spans="2:56" ht="15.75" x14ac:dyDescent="0.25">
      <c r="B26" s="24"/>
      <c r="D26" s="18" t="str">
        <f>GetCode(W26:AG26,info!$K$3:$U$3,B26,"-")</f>
        <v>NA</v>
      </c>
      <c r="BD26">
        <f t="shared" si="0"/>
        <v>0</v>
      </c>
    </row>
    <row r="27" spans="2:56" ht="15.75" x14ac:dyDescent="0.25">
      <c r="B27" s="24"/>
      <c r="D27" s="18" t="str">
        <f>GetCode(W27:AG27,info!$K$3:$U$3,B27,"-")</f>
        <v>NA</v>
      </c>
      <c r="BD27">
        <f t="shared" si="0"/>
        <v>0</v>
      </c>
    </row>
    <row r="28" spans="2:56" ht="15.75" x14ac:dyDescent="0.25">
      <c r="B28" s="24"/>
      <c r="D28" s="18"/>
      <c r="AU28">
        <v>1</v>
      </c>
      <c r="BD28">
        <f t="shared" si="0"/>
        <v>1</v>
      </c>
    </row>
    <row r="29" spans="2:56" ht="15.75" x14ac:dyDescent="0.25">
      <c r="B29" s="24"/>
      <c r="D29" s="18"/>
      <c r="BD29">
        <f t="shared" si="0"/>
        <v>0</v>
      </c>
    </row>
    <row r="30" spans="2:56" ht="15.75" x14ac:dyDescent="0.25">
      <c r="B30" s="24">
        <v>45490</v>
      </c>
      <c r="D30" s="18"/>
      <c r="AA30">
        <v>33</v>
      </c>
      <c r="AW30">
        <v>1</v>
      </c>
      <c r="BD30">
        <f t="shared" si="0"/>
        <v>1</v>
      </c>
    </row>
    <row r="31" spans="2:56" ht="15.75" x14ac:dyDescent="0.25">
      <c r="B31" s="24"/>
      <c r="D31" s="18"/>
      <c r="BD31">
        <f t="shared" si="0"/>
        <v>0</v>
      </c>
    </row>
    <row r="32" spans="2:56" ht="15.75" x14ac:dyDescent="0.25">
      <c r="D32" s="18"/>
      <c r="E32" t="s">
        <v>119</v>
      </c>
      <c r="H32" t="s">
        <v>119</v>
      </c>
      <c r="K32" t="s">
        <v>119</v>
      </c>
      <c r="M32" t="s">
        <v>119</v>
      </c>
      <c r="T32" t="s">
        <v>119</v>
      </c>
      <c r="X32" t="s">
        <v>119</v>
      </c>
      <c r="AG32">
        <v>11</v>
      </c>
      <c r="AI32" t="s">
        <v>119</v>
      </c>
      <c r="BC32">
        <v>1</v>
      </c>
      <c r="BD32">
        <f t="shared" si="0"/>
        <v>1</v>
      </c>
    </row>
    <row r="33" spans="46:56" x14ac:dyDescent="0.25">
      <c r="BD33">
        <f t="shared" si="0"/>
        <v>0</v>
      </c>
    </row>
    <row r="38" spans="46:56" x14ac:dyDescent="0.25">
      <c r="AT38">
        <v>1</v>
      </c>
    </row>
    <row r="43" spans="46:56" x14ac:dyDescent="0.25">
      <c r="BA43">
        <v>1</v>
      </c>
    </row>
    <row r="48" spans="46:56" x14ac:dyDescent="0.25">
      <c r="AT48">
        <v>1</v>
      </c>
    </row>
    <row r="54" spans="45:49" x14ac:dyDescent="0.25">
      <c r="AW54">
        <v>1</v>
      </c>
    </row>
    <row r="55" spans="45:49" x14ac:dyDescent="0.25">
      <c r="AS55">
        <v>1</v>
      </c>
    </row>
    <row r="1048576" spans="30:30" x14ac:dyDescent="0.25">
      <c r="AD1048576" t="s">
        <v>131</v>
      </c>
    </row>
  </sheetData>
  <autoFilter ref="A1:BD34"/>
  <conditionalFormatting sqref="C2:C3">
    <cfRule type="duplicateValues" dxfId="13" priority="3"/>
  </conditionalFormatting>
  <conditionalFormatting sqref="D2:D32">
    <cfRule type="containsErrors" dxfId="12" priority="1">
      <formula>ISERROR(D2)</formula>
    </cfRule>
  </conditionalFormatting>
  <dataValidations count="4">
    <dataValidation type="list" allowBlank="1" showInputMessage="1" showErrorMessage="1" sqref="H1">
      <formula1>$AV$1:$AV$17</formula1>
    </dataValidation>
    <dataValidation allowBlank="1" showInputMessage="1" showErrorMessage="1" promptTitle="ВНИМАНИЕ!!!" prompt="НЕ МЕНЯТЬ ЗНАЧЕНИЕ СТОЛБЦА В РУЧНУЮ!!!" sqref="AS1:BD1"/>
    <dataValidation type="whole" allowBlank="1" showInputMessage="1" showErrorMessage="1" sqref="AS2:BC3">
      <formula1>0</formula1>
      <formula2>1</formula2>
    </dataValidation>
    <dataValidation allowBlank="1" showInputMessage="1" showErrorMessage="1" promptTitle="ПОЯСНЕНИЕ:" prompt="КОММЕНТАРИЙ В СВОБОДНОЙ ФОРМЕ" sqref="AM1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Кнопка1_Щелчок">
                <anchor moveWithCells="1" sizeWithCells="1">
                  <from>
                    <xdr:col>57</xdr:col>
                    <xdr:colOff>0</xdr:colOff>
                    <xdr:row>0</xdr:row>
                    <xdr:rowOff>38100</xdr:rowOff>
                  </from>
                  <to>
                    <xdr:col>62</xdr:col>
                    <xdr:colOff>257175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C897EFB-8DEE-498A-AC82-259A43D9A28A}">
            <xm:f>OR(IF(LEN(TRIM(D2))&gt;1,RIGHT(TRIM(D2),1)="-",0),D2=info!$J$6)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D2:D32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info!$A$2:$A$30</xm:f>
          </x14:formula1>
          <xm:sqref>H2:H3</xm:sqref>
        </x14:dataValidation>
        <x14:dataValidation type="list" allowBlank="1" showInputMessage="1" showErrorMessage="1">
          <x14:formula1>
            <xm:f>info!$B$2:$B$17</xm:f>
          </x14:formula1>
          <xm:sqref>M2:M3</xm:sqref>
        </x14:dataValidation>
        <x14:dataValidation type="list" allowBlank="1" showInputMessage="1" showErrorMessage="1">
          <x14:formula1>
            <xm:f>info!$C$2:$C$24</xm:f>
          </x14:formula1>
          <xm:sqref>N2:N3</xm:sqref>
        </x14:dataValidation>
        <x14:dataValidation type="list" allowBlank="1" showInputMessage="1" showErrorMessage="1">
          <x14:formula1>
            <xm:f>info!$D$2:$D$7</xm:f>
          </x14:formula1>
          <xm:sqref>AH2:AH3</xm:sqref>
        </x14:dataValidation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B2:B5</xm:sqref>
        </x14:dataValidation>
        <x14:dataValidation type="whole" allowBlank="1" showInputMessage="1" showErrorMessage="1" errorTitle="ВНИМАНИЕ!!!" error="ТРЕБУЕТСЯ ВНЕСТИ ЦЕЛОЧИСЛЕННОЕ ПОЛОЖИТЕЛЬНОЕ ЗНАЧЕНИЕ">
          <x14:formula1>
            <xm:f>0</xm:f>
          </x14:formula1>
          <x14:formula2>
            <xm:f>info!$J$5</xm:f>
          </x14:formula2>
          <xm:sqref>W2:AG4</xm:sqref>
        </x14:dataValidation>
        <x14:dataValidation type="date" allowBlank="1" showInputMessage="1" showErrorMessage="1">
          <x14:formula1>
            <xm:f>TODAY()-info!J3</xm:f>
          </x14:formula1>
          <x14:formula2>
            <xm:f>TODAY()+info!J4</xm:f>
          </x14:formula2>
          <xm:sqref>AI2:AI3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499984740745262"/>
  </sheetPr>
  <dimension ref="A1:O22"/>
  <sheetViews>
    <sheetView workbookViewId="0">
      <pane ySplit="4" topLeftCell="A5" activePane="bottomLeft" state="frozen"/>
      <selection pane="bottomLeft" activeCell="I23" sqref="I23"/>
    </sheetView>
  </sheetViews>
  <sheetFormatPr defaultRowHeight="15" x14ac:dyDescent="0.25"/>
  <cols>
    <col min="2" max="2" width="19.42578125" bestFit="1" customWidth="1"/>
    <col min="3" max="3" width="15" customWidth="1"/>
    <col min="4" max="4" width="16.28515625" customWidth="1"/>
    <col min="5" max="5" width="18.42578125" customWidth="1"/>
    <col min="6" max="6" width="9.140625" customWidth="1"/>
    <col min="8" max="8" width="19.42578125" bestFit="1" customWidth="1"/>
    <col min="9" max="9" width="15" customWidth="1"/>
    <col min="10" max="10" width="16.28515625" customWidth="1"/>
    <col min="11" max="11" width="18.42578125" customWidth="1"/>
    <col min="12" max="12" width="15" customWidth="1"/>
    <col min="13" max="13" width="16.28515625" customWidth="1"/>
    <col min="14" max="14" width="13.7109375" customWidth="1"/>
    <col min="15" max="15" width="22.85546875" customWidth="1"/>
  </cols>
  <sheetData>
    <row r="1" spans="1:15" ht="19.5" thickTop="1" x14ac:dyDescent="0.3">
      <c r="D1" s="50" t="s">
        <v>146</v>
      </c>
      <c r="E1" s="51">
        <f ca="1">TODAY()</f>
        <v>45505</v>
      </c>
    </row>
    <row r="2" spans="1:15" ht="15.75" x14ac:dyDescent="0.25">
      <c r="A2" s="63" t="s">
        <v>147</v>
      </c>
      <c r="B2" s="63" t="s">
        <v>144</v>
      </c>
      <c r="C2" s="64"/>
      <c r="D2" s="63" t="s">
        <v>145</v>
      </c>
      <c r="E2" s="64"/>
      <c r="G2" s="63" t="s">
        <v>147</v>
      </c>
      <c r="H2" s="63" t="s">
        <v>144</v>
      </c>
      <c r="I2" s="64"/>
      <c r="J2" s="63" t="s">
        <v>122</v>
      </c>
      <c r="K2" s="64"/>
      <c r="L2" s="64"/>
      <c r="M2" s="64"/>
      <c r="N2" s="64"/>
      <c r="O2" s="64"/>
    </row>
    <row r="3" spans="1:15" ht="15.75" x14ac:dyDescent="0.25">
      <c r="A3" s="63"/>
      <c r="B3" s="64"/>
      <c r="C3" s="64"/>
      <c r="D3" s="64"/>
      <c r="E3" s="64"/>
      <c r="G3" s="63"/>
      <c r="H3" s="64"/>
      <c r="I3" s="64"/>
      <c r="J3" s="63" t="s">
        <v>160</v>
      </c>
      <c r="K3" s="64"/>
      <c r="L3" s="65" t="s">
        <v>163</v>
      </c>
      <c r="M3" s="65"/>
      <c r="N3" s="65"/>
      <c r="O3" s="65"/>
    </row>
    <row r="4" spans="1:15" ht="31.5" x14ac:dyDescent="0.25">
      <c r="A4" s="63"/>
      <c r="B4" s="46" t="s">
        <v>148</v>
      </c>
      <c r="C4" s="46" t="s">
        <v>149</v>
      </c>
      <c r="D4" s="47" t="s">
        <v>151</v>
      </c>
      <c r="E4" s="46" t="s">
        <v>152</v>
      </c>
      <c r="G4" s="63"/>
      <c r="H4" s="46" t="s">
        <v>148</v>
      </c>
      <c r="I4" s="46" t="s">
        <v>149</v>
      </c>
      <c r="J4" s="47" t="s">
        <v>159</v>
      </c>
      <c r="K4" s="46" t="s">
        <v>152</v>
      </c>
      <c r="L4" s="46" t="s">
        <v>162</v>
      </c>
      <c r="M4" s="47" t="s">
        <v>161</v>
      </c>
      <c r="N4" s="47" t="s">
        <v>165</v>
      </c>
      <c r="O4" s="47" t="s">
        <v>166</v>
      </c>
    </row>
    <row r="5" spans="1:15" x14ac:dyDescent="0.25">
      <c r="A5" s="38">
        <v>1</v>
      </c>
      <c r="B5" s="41" t="str">
        <f>info!K2</f>
        <v>1.1 ОИПП</v>
      </c>
      <c r="C5" s="40" t="str">
        <f>info!K3</f>
        <v>1.1</v>
      </c>
      <c r="D5" s="38">
        <f>COUNTIF(ОПП!AS:AS,"&gt;0")</f>
        <v>5</v>
      </c>
      <c r="E5" s="42">
        <f>D5*100/$D$16</f>
        <v>12.820512820512821</v>
      </c>
      <c r="G5" s="38">
        <v>1</v>
      </c>
      <c r="H5" s="41" t="str">
        <f>B5</f>
        <v>1.1 ОИПП</v>
      </c>
      <c r="I5" s="40" t="str">
        <f>C5</f>
        <v>1.1</v>
      </c>
      <c r="J5" s="38">
        <f>SUM(ОПП!W:W)</f>
        <v>2</v>
      </c>
      <c r="K5" s="42">
        <f>J5*100/$J$16</f>
        <v>0.15337423312883436</v>
      </c>
      <c r="L5" s="48">
        <f ca="1">SUMIF(ОПП!$AI:$AI,"&lt;="&amp;$E$1+info!$J$4,ОПП!W:W)</f>
        <v>1</v>
      </c>
      <c r="M5" s="38">
        <f ca="1">J5-L5</f>
        <v>1</v>
      </c>
      <c r="N5" s="42">
        <f ca="1">M5*100/(L5+M5)</f>
        <v>50</v>
      </c>
      <c r="O5" s="42">
        <f ca="1">M5*100/$M$16</f>
        <v>0.70422535211267601</v>
      </c>
    </row>
    <row r="6" spans="1:15" x14ac:dyDescent="0.25">
      <c r="A6" s="38">
        <v>2</v>
      </c>
      <c r="B6" s="41" t="str">
        <f>info!L2</f>
        <v>1.2 ОИВ</v>
      </c>
      <c r="C6" s="40" t="str">
        <f>info!L3</f>
        <v>1.2</v>
      </c>
      <c r="D6" s="38">
        <f>COUNTIF(ОПП!AT:AT,"&gt;0")</f>
        <v>7</v>
      </c>
      <c r="E6" s="42">
        <f>D6*100/$D$16</f>
        <v>17.948717948717949</v>
      </c>
      <c r="G6" s="38">
        <v>2</v>
      </c>
      <c r="H6" s="41" t="str">
        <f t="shared" ref="H6:H15" si="0">B6</f>
        <v>1.2 ОИВ</v>
      </c>
      <c r="I6" s="40" t="str">
        <f t="shared" ref="I6:I15" si="1">C6</f>
        <v>1.2</v>
      </c>
      <c r="J6" s="38">
        <f>SUM(ОПП!X:X)</f>
        <v>336</v>
      </c>
      <c r="K6" s="42">
        <f t="shared" ref="K6:K16" si="2">J6*100/$J$16</f>
        <v>25.766871165644172</v>
      </c>
      <c r="L6" s="48">
        <f ca="1">SUMIF(ОПП!$AI:$AI,"&lt;="&amp;$E$1+info!$J$4,ОПП!X:X)</f>
        <v>334</v>
      </c>
      <c r="M6" s="38">
        <f t="shared" ref="M6:M15" ca="1" si="3">J6-L6</f>
        <v>2</v>
      </c>
      <c r="N6" s="42">
        <f t="shared" ref="N6:N16" ca="1" si="4">M6*100/(L6+M6)</f>
        <v>0.59523809523809523</v>
      </c>
      <c r="O6" s="42">
        <f t="shared" ref="O6:O16" ca="1" si="5">M6*100/$M$16</f>
        <v>1.408450704225352</v>
      </c>
    </row>
    <row r="7" spans="1:15" x14ac:dyDescent="0.25">
      <c r="A7" s="38">
        <v>3</v>
      </c>
      <c r="B7" s="41" t="str">
        <f>info!M2</f>
        <v>1.3 ОФХМИ</v>
      </c>
      <c r="C7" s="40" t="str">
        <f>info!M3</f>
        <v>1.3</v>
      </c>
      <c r="D7" s="38">
        <f>COUNTIF(ОПП!AU:AU,"&gt;0")</f>
        <v>5</v>
      </c>
      <c r="E7" s="42">
        <f t="shared" ref="E7:E16" si="6">D7*100/$D$16</f>
        <v>12.820512820512821</v>
      </c>
      <c r="G7" s="38">
        <v>3</v>
      </c>
      <c r="H7" s="41" t="str">
        <f t="shared" si="0"/>
        <v>1.3 ОФХМИ</v>
      </c>
      <c r="I7" s="40" t="str">
        <f t="shared" si="1"/>
        <v>1.3</v>
      </c>
      <c r="J7" s="38">
        <f>SUM(ОПП!Y:Y)</f>
        <v>127</v>
      </c>
      <c r="K7" s="42">
        <f t="shared" si="2"/>
        <v>9.7392638036809824</v>
      </c>
      <c r="L7" s="48">
        <f ca="1">SUMIF(ОПП!$AI:$AI,"&lt;="&amp;$E$1+info!$J$4,ОПП!Y:Y)</f>
        <v>123</v>
      </c>
      <c r="M7" s="38">
        <f t="shared" ca="1" si="3"/>
        <v>4</v>
      </c>
      <c r="N7" s="42">
        <f t="shared" ca="1" si="4"/>
        <v>3.1496062992125986</v>
      </c>
      <c r="O7" s="42">
        <f t="shared" ca="1" si="5"/>
        <v>2.816901408450704</v>
      </c>
    </row>
    <row r="8" spans="1:15" x14ac:dyDescent="0.25">
      <c r="A8" s="38">
        <v>4</v>
      </c>
      <c r="B8" s="41" t="str">
        <f>info!N2</f>
        <v>1.4 ОИВС</v>
      </c>
      <c r="C8" s="40" t="str">
        <f>info!N3</f>
        <v>1.4</v>
      </c>
      <c r="D8" s="38">
        <f>COUNTIF(ОПП!AV:AV,"&gt;0")</f>
        <v>2</v>
      </c>
      <c r="E8" s="42">
        <f t="shared" si="6"/>
        <v>5.1282051282051286</v>
      </c>
      <c r="G8" s="38">
        <v>4</v>
      </c>
      <c r="H8" s="41" t="str">
        <f t="shared" si="0"/>
        <v>1.4 ОИВС</v>
      </c>
      <c r="I8" s="40" t="str">
        <f t="shared" si="1"/>
        <v>1.4</v>
      </c>
      <c r="J8" s="38">
        <f>SUM(ОПП!Z:Z)</f>
        <v>2</v>
      </c>
      <c r="K8" s="42">
        <f t="shared" si="2"/>
        <v>0.15337423312883436</v>
      </c>
      <c r="L8" s="48">
        <f ca="1">SUMIF(ОПП!$AI:$AI,"&lt;="&amp;$E$1+info!$J$4,ОПП!Z:Z)</f>
        <v>1</v>
      </c>
      <c r="M8" s="38">
        <f t="shared" ca="1" si="3"/>
        <v>1</v>
      </c>
      <c r="N8" s="42">
        <f t="shared" ca="1" si="4"/>
        <v>50</v>
      </c>
      <c r="O8" s="42">
        <f t="shared" ca="1" si="5"/>
        <v>0.70422535211267601</v>
      </c>
    </row>
    <row r="9" spans="1:15" x14ac:dyDescent="0.25">
      <c r="A9" s="38">
        <v>5</v>
      </c>
      <c r="B9" s="41" t="str">
        <f>info!O2</f>
        <v>1.5 ОНИ</v>
      </c>
      <c r="C9" s="40" t="str">
        <f>info!O3</f>
        <v>1.5</v>
      </c>
      <c r="D9" s="38">
        <f>COUNTIF(ОПП!AW:AW,"&gt;0")</f>
        <v>4</v>
      </c>
      <c r="E9" s="42">
        <f t="shared" si="6"/>
        <v>10.256410256410257</v>
      </c>
      <c r="G9" s="38">
        <v>5</v>
      </c>
      <c r="H9" s="41" t="str">
        <f t="shared" si="0"/>
        <v>1.5 ОНИ</v>
      </c>
      <c r="I9" s="40" t="str">
        <f t="shared" si="1"/>
        <v>1.5</v>
      </c>
      <c r="J9" s="38">
        <f>SUM(ОПП!AA:AA)</f>
        <v>46</v>
      </c>
      <c r="K9" s="42">
        <f t="shared" si="2"/>
        <v>3.5276073619631902</v>
      </c>
      <c r="L9" s="48">
        <f ca="1">SUMIF(ОПП!$AI:$AI,"&lt;="&amp;$E$1+info!$J$4,ОПП!AA:AA)</f>
        <v>1</v>
      </c>
      <c r="M9" s="38">
        <f t="shared" ca="1" si="3"/>
        <v>45</v>
      </c>
      <c r="N9" s="42">
        <f t="shared" ca="1" si="4"/>
        <v>97.826086956521735</v>
      </c>
      <c r="O9" s="42">
        <f t="shared" ca="1" si="5"/>
        <v>31.690140845070424</v>
      </c>
    </row>
    <row r="10" spans="1:15" x14ac:dyDescent="0.25">
      <c r="A10" s="38">
        <v>6</v>
      </c>
      <c r="B10" s="41" t="str">
        <f>info!P2</f>
        <v>1.6 ОПТ</v>
      </c>
      <c r="C10" s="40" t="str">
        <f>info!P3</f>
        <v>1.6</v>
      </c>
      <c r="D10" s="38">
        <f>COUNTIF(ОПП!AX:AX,"&gt;0")</f>
        <v>0</v>
      </c>
      <c r="E10" s="42">
        <f t="shared" si="6"/>
        <v>0</v>
      </c>
      <c r="G10" s="38">
        <v>6</v>
      </c>
      <c r="H10" s="41" t="str">
        <f t="shared" si="0"/>
        <v>1.6 ОПТ</v>
      </c>
      <c r="I10" s="40" t="str">
        <f t="shared" si="1"/>
        <v>1.6</v>
      </c>
      <c r="J10" s="38">
        <f>SUM(ОПП!AB:AB)</f>
        <v>0</v>
      </c>
      <c r="K10" s="42">
        <f t="shared" si="2"/>
        <v>0</v>
      </c>
      <c r="L10" s="48">
        <f ca="1">SUMIF(ОПП!$AI:$AI,"&lt;="&amp;$E$1+info!$J$4,ОПП!AB:AB)</f>
        <v>0</v>
      </c>
      <c r="M10" s="38">
        <f t="shared" ca="1" si="3"/>
        <v>0</v>
      </c>
      <c r="N10" s="42" t="e">
        <f t="shared" ca="1" si="4"/>
        <v>#DIV/0!</v>
      </c>
      <c r="O10" s="42">
        <f t="shared" ca="1" si="5"/>
        <v>0</v>
      </c>
    </row>
    <row r="11" spans="1:15" x14ac:dyDescent="0.25">
      <c r="A11" s="38">
        <v>7</v>
      </c>
      <c r="B11" s="41" t="str">
        <f>info!Q2</f>
        <v>2. МБЛ</v>
      </c>
      <c r="C11" s="40" t="str">
        <f>info!Q3</f>
        <v>2</v>
      </c>
      <c r="D11" s="38">
        <f>COUNTIF(ОПП!AY:AY,"&gt;0")</f>
        <v>4</v>
      </c>
      <c r="E11" s="42">
        <f t="shared" si="6"/>
        <v>10.256410256410257</v>
      </c>
      <c r="G11" s="38">
        <v>7</v>
      </c>
      <c r="H11" s="41" t="str">
        <f t="shared" si="0"/>
        <v>2. МБЛ</v>
      </c>
      <c r="I11" s="40" t="str">
        <f t="shared" si="1"/>
        <v>2</v>
      </c>
      <c r="J11" s="38">
        <f>SUM(ОПП!AC:AC)</f>
        <v>9</v>
      </c>
      <c r="K11" s="42">
        <f t="shared" si="2"/>
        <v>0.69018404907975461</v>
      </c>
      <c r="L11" s="48">
        <f ca="1">SUMIF(ОПП!$AI:$AI,"&lt;="&amp;$E$1+info!$J$4,ОПП!AC:AC)</f>
        <v>9</v>
      </c>
      <c r="M11" s="38">
        <f t="shared" ca="1" si="3"/>
        <v>0</v>
      </c>
      <c r="N11" s="42">
        <f t="shared" ca="1" si="4"/>
        <v>0</v>
      </c>
      <c r="O11" s="42">
        <f t="shared" ca="1" si="5"/>
        <v>0</v>
      </c>
    </row>
    <row r="12" spans="1:15" x14ac:dyDescent="0.25">
      <c r="A12" s="38">
        <v>8</v>
      </c>
      <c r="B12" s="41" t="str">
        <f>info!R2</f>
        <v>3. МБЛ</v>
      </c>
      <c r="C12" s="40" t="str">
        <f>info!R3</f>
        <v>3</v>
      </c>
      <c r="D12" s="38">
        <f>COUNTIF(ОПП!AZ:AZ,"&gt;0")</f>
        <v>3</v>
      </c>
      <c r="E12" s="42">
        <f t="shared" si="6"/>
        <v>7.6923076923076925</v>
      </c>
      <c r="G12" s="38">
        <v>8</v>
      </c>
      <c r="H12" s="41" t="str">
        <f t="shared" si="0"/>
        <v>3. МБЛ</v>
      </c>
      <c r="I12" s="40" t="str">
        <f t="shared" si="1"/>
        <v>3</v>
      </c>
      <c r="J12" s="38">
        <f>SUM(ОПП!AD:AD)</f>
        <v>403</v>
      </c>
      <c r="K12" s="42">
        <f t="shared" si="2"/>
        <v>30.904907975460123</v>
      </c>
      <c r="L12" s="48">
        <f ca="1">SUMIF(ОПП!$AI:$AI,"&lt;="&amp;$E$1+info!$J$4,ОПП!AD:AD)</f>
        <v>359</v>
      </c>
      <c r="M12" s="38">
        <f t="shared" ca="1" si="3"/>
        <v>44</v>
      </c>
      <c r="N12" s="42">
        <f t="shared" ca="1" si="4"/>
        <v>10.918114143920596</v>
      </c>
      <c r="O12" s="42">
        <f t="shared" ca="1" si="5"/>
        <v>30.985915492957748</v>
      </c>
    </row>
    <row r="13" spans="1:15" x14ac:dyDescent="0.25">
      <c r="A13" s="38">
        <v>9</v>
      </c>
      <c r="B13" s="41" t="str">
        <f>info!S2</f>
        <v>5. ЛРК</v>
      </c>
      <c r="C13" s="40" t="str">
        <f>info!S3</f>
        <v>5</v>
      </c>
      <c r="D13" s="38">
        <f>COUNTIF(ОПП!BA:BA,"&gt;0")</f>
        <v>4</v>
      </c>
      <c r="E13" s="42">
        <f t="shared" si="6"/>
        <v>10.256410256410257</v>
      </c>
      <c r="G13" s="38">
        <v>9</v>
      </c>
      <c r="H13" s="41" t="str">
        <f t="shared" si="0"/>
        <v>5. ЛРК</v>
      </c>
      <c r="I13" s="40" t="str">
        <f t="shared" si="1"/>
        <v>5</v>
      </c>
      <c r="J13" s="38">
        <f>SUM(ОПП!AE:AE)</f>
        <v>1</v>
      </c>
      <c r="K13" s="42">
        <f t="shared" si="2"/>
        <v>7.6687116564417179E-2</v>
      </c>
      <c r="L13" s="48">
        <f ca="1">SUMIF(ОПП!$AI:$AI,"&lt;="&amp;$E$1+info!$J$4,ОПП!AE:AE)</f>
        <v>1</v>
      </c>
      <c r="M13" s="38">
        <f t="shared" ca="1" si="3"/>
        <v>0</v>
      </c>
      <c r="N13" s="42">
        <f t="shared" ca="1" si="4"/>
        <v>0</v>
      </c>
      <c r="O13" s="42">
        <f t="shared" ca="1" si="5"/>
        <v>0</v>
      </c>
    </row>
    <row r="14" spans="1:15" x14ac:dyDescent="0.25">
      <c r="A14" s="38">
        <v>10</v>
      </c>
      <c r="B14" s="41" t="str">
        <f>info!T2</f>
        <v>8. ВЛ</v>
      </c>
      <c r="C14" s="40" t="str">
        <f>info!T3</f>
        <v>8</v>
      </c>
      <c r="D14" s="38">
        <f>COUNTIF(ОПП!BB:BB,"&gt;0")</f>
        <v>3</v>
      </c>
      <c r="E14" s="42">
        <f t="shared" si="6"/>
        <v>7.6923076923076925</v>
      </c>
      <c r="G14" s="38">
        <v>10</v>
      </c>
      <c r="H14" s="41" t="str">
        <f t="shared" si="0"/>
        <v>8. ВЛ</v>
      </c>
      <c r="I14" s="40" t="str">
        <f t="shared" si="1"/>
        <v>8</v>
      </c>
      <c r="J14" s="38">
        <f>SUM(ОПП!AF:AF)</f>
        <v>334</v>
      </c>
      <c r="K14" s="42">
        <f t="shared" si="2"/>
        <v>25.613496932515336</v>
      </c>
      <c r="L14" s="48">
        <f ca="1">SUMIF(ОПП!$AI:$AI,"&lt;="&amp;$E$1+info!$J$4,ОПП!AF:AF)</f>
        <v>333</v>
      </c>
      <c r="M14" s="38">
        <f t="shared" ca="1" si="3"/>
        <v>1</v>
      </c>
      <c r="N14" s="42">
        <f t="shared" ca="1" si="4"/>
        <v>0.29940119760479039</v>
      </c>
      <c r="O14" s="42">
        <f t="shared" ca="1" si="5"/>
        <v>0.70422535211267601</v>
      </c>
    </row>
    <row r="15" spans="1:15" x14ac:dyDescent="0.25">
      <c r="A15" s="38">
        <v>11</v>
      </c>
      <c r="B15" s="41" t="str">
        <f>info!U2</f>
        <v>9. ООИ</v>
      </c>
      <c r="C15" s="40" t="str">
        <f>info!U3</f>
        <v>9</v>
      </c>
      <c r="D15" s="38">
        <f>COUNTIF(ОПП!BC:BC,"&gt;0")</f>
        <v>2</v>
      </c>
      <c r="E15" s="42">
        <f t="shared" si="6"/>
        <v>5.1282051282051286</v>
      </c>
      <c r="G15" s="38">
        <v>11</v>
      </c>
      <c r="H15" s="41" t="str">
        <f t="shared" si="0"/>
        <v>9. ООИ</v>
      </c>
      <c r="I15" s="40" t="str">
        <f t="shared" si="1"/>
        <v>9</v>
      </c>
      <c r="J15" s="38">
        <f>SUM(ОПП!AG:AG)</f>
        <v>44</v>
      </c>
      <c r="K15" s="42">
        <f t="shared" si="2"/>
        <v>3.3742331288343559</v>
      </c>
      <c r="L15" s="48">
        <f ca="1">SUMIF(ОПП!$AI:$AI,"&lt;="&amp;$E$1+info!$J$4,ОПП!AG:AG)</f>
        <v>0</v>
      </c>
      <c r="M15" s="38">
        <f t="shared" ca="1" si="3"/>
        <v>44</v>
      </c>
      <c r="N15" s="42">
        <f t="shared" ca="1" si="4"/>
        <v>100</v>
      </c>
      <c r="O15" s="42">
        <f t="shared" ca="1" si="5"/>
        <v>30.985915492957748</v>
      </c>
    </row>
    <row r="16" spans="1:15" x14ac:dyDescent="0.25">
      <c r="A16" s="38">
        <v>12</v>
      </c>
      <c r="B16" s="43" t="s">
        <v>153</v>
      </c>
      <c r="C16" s="44" t="s">
        <v>150</v>
      </c>
      <c r="D16" s="45">
        <f>SUM(D5:D15)</f>
        <v>39</v>
      </c>
      <c r="E16" s="42">
        <f t="shared" si="6"/>
        <v>100</v>
      </c>
      <c r="G16" s="38">
        <v>12</v>
      </c>
      <c r="H16" s="43" t="s">
        <v>153</v>
      </c>
      <c r="I16" s="44" t="s">
        <v>150</v>
      </c>
      <c r="J16" s="45">
        <f>SUM(J5:J15)</f>
        <v>1304</v>
      </c>
      <c r="K16" s="42">
        <f t="shared" si="2"/>
        <v>100</v>
      </c>
      <c r="L16" s="45">
        <f ca="1">SUM(L5:L15)</f>
        <v>1162</v>
      </c>
      <c r="M16" s="45">
        <f ca="1">SUM(M5:M15)</f>
        <v>142</v>
      </c>
      <c r="N16" s="42">
        <f t="shared" ca="1" si="4"/>
        <v>10.889570552147239</v>
      </c>
      <c r="O16" s="42">
        <f t="shared" ca="1" si="5"/>
        <v>100</v>
      </c>
    </row>
    <row r="17" spans="2:4" ht="26.25" customHeight="1" x14ac:dyDescent="0.25">
      <c r="B17" s="66" t="s">
        <v>154</v>
      </c>
      <c r="C17" s="67"/>
      <c r="D17" s="45">
        <f>COUNTIF(ОПП!BD:BD,"&gt;0")</f>
        <v>15</v>
      </c>
    </row>
    <row r="19" spans="2:4" x14ac:dyDescent="0.25">
      <c r="B19" t="s">
        <v>155</v>
      </c>
    </row>
    <row r="20" spans="2:4" x14ac:dyDescent="0.25">
      <c r="B20" t="s">
        <v>157</v>
      </c>
    </row>
    <row r="21" spans="2:4" x14ac:dyDescent="0.25">
      <c r="B21" t="s">
        <v>156</v>
      </c>
    </row>
    <row r="22" spans="2:4" x14ac:dyDescent="0.25">
      <c r="B22" t="s">
        <v>164</v>
      </c>
    </row>
  </sheetData>
  <autoFilter ref="A4:O4"/>
  <mergeCells count="9">
    <mergeCell ref="J2:O2"/>
    <mergeCell ref="J3:K3"/>
    <mergeCell ref="L3:O3"/>
    <mergeCell ref="A2:A4"/>
    <mergeCell ref="B17:C17"/>
    <mergeCell ref="G2:G4"/>
    <mergeCell ref="B2:C3"/>
    <mergeCell ref="D2:E3"/>
    <mergeCell ref="H2:I3"/>
  </mergeCells>
  <conditionalFormatting sqref="E5:E16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63BE7B"/>
      </colorScale>
    </cfRule>
  </conditionalFormatting>
  <conditionalFormatting sqref="K5:K1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CFCFF"/>
        <color rgb="FF63BE7B"/>
      </colorScale>
    </cfRule>
  </conditionalFormatting>
  <conditionalFormatting sqref="N5:O1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7" tint="0.79998168889431442"/>
  </sheetPr>
  <dimension ref="A1:U99"/>
  <sheetViews>
    <sheetView view="pageBreakPreview" zoomScale="70" zoomScaleNormal="55" zoomScaleSheetLayoutView="70" workbookViewId="0">
      <pane xSplit="3" ySplit="2" topLeftCell="F3" activePane="bottomRight" state="frozen"/>
      <selection pane="topRight" activeCell="D1" sqref="D1"/>
      <selection pane="bottomLeft" activeCell="A3" sqref="A3"/>
      <selection pane="bottomRight" activeCell="K8" sqref="K8"/>
    </sheetView>
  </sheetViews>
  <sheetFormatPr defaultRowHeight="15" x14ac:dyDescent="0.25"/>
  <cols>
    <col min="1" max="1" width="24.5703125" customWidth="1"/>
    <col min="2" max="2" width="29.7109375" customWidth="1"/>
    <col min="3" max="3" width="16.28515625" customWidth="1"/>
    <col min="4" max="4" width="23" customWidth="1"/>
    <col min="8" max="8" width="6.140625" customWidth="1"/>
    <col min="9" max="9" width="41" bestFit="1" customWidth="1"/>
    <col min="10" max="10" width="26.42578125" bestFit="1" customWidth="1"/>
    <col min="11" max="11" width="16.7109375" customWidth="1"/>
    <col min="12" max="12" width="19" customWidth="1"/>
    <col min="13" max="13" width="18.28515625" customWidth="1"/>
    <col min="14" max="14" width="16.5703125" customWidth="1"/>
    <col min="15" max="15" width="17.7109375" customWidth="1"/>
    <col min="16" max="16" width="16.140625" customWidth="1"/>
    <col min="17" max="17" width="17.42578125" customWidth="1"/>
    <col min="18" max="18" width="18" customWidth="1"/>
    <col min="19" max="19" width="16.7109375" customWidth="1"/>
    <col min="20" max="20" width="21.5703125" customWidth="1"/>
    <col min="21" max="21" width="22.7109375" customWidth="1"/>
  </cols>
  <sheetData>
    <row r="1" spans="1:21" ht="75" customHeight="1" thickTop="1" thickBot="1" x14ac:dyDescent="0.4">
      <c r="A1" s="19" t="s">
        <v>7</v>
      </c>
      <c r="B1" s="20" t="s">
        <v>12</v>
      </c>
      <c r="C1" s="20" t="s">
        <v>13</v>
      </c>
      <c r="D1" s="20" t="s">
        <v>33</v>
      </c>
      <c r="I1" s="68" t="s">
        <v>173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70"/>
    </row>
    <row r="2" spans="1:21" ht="17.25" thickTop="1" thickBot="1" x14ac:dyDescent="0.3">
      <c r="A2" s="21" t="s">
        <v>40</v>
      </c>
      <c r="B2" s="23" t="s">
        <v>78</v>
      </c>
      <c r="C2" s="23" t="s">
        <v>85</v>
      </c>
      <c r="D2" s="23" t="s">
        <v>49</v>
      </c>
      <c r="I2" s="25" t="s">
        <v>112</v>
      </c>
      <c r="J2" s="25" t="s">
        <v>113</v>
      </c>
      <c r="K2" s="25" t="s">
        <v>22</v>
      </c>
      <c r="L2" s="25" t="s">
        <v>23</v>
      </c>
      <c r="M2" s="25" t="s">
        <v>24</v>
      </c>
      <c r="N2" s="25" t="s">
        <v>25</v>
      </c>
      <c r="O2" s="25" t="s">
        <v>26</v>
      </c>
      <c r="P2" s="25" t="s">
        <v>27</v>
      </c>
      <c r="Q2" s="25" t="s">
        <v>28</v>
      </c>
      <c r="R2" s="25" t="s">
        <v>29</v>
      </c>
      <c r="S2" s="25" t="s">
        <v>30</v>
      </c>
      <c r="T2" s="25" t="s">
        <v>31</v>
      </c>
      <c r="U2" s="25" t="s">
        <v>32</v>
      </c>
    </row>
    <row r="3" spans="1:21" ht="64.5" thickTop="1" thickBot="1" x14ac:dyDescent="0.3">
      <c r="A3" s="21" t="s">
        <v>50</v>
      </c>
      <c r="B3" s="23" t="s">
        <v>43</v>
      </c>
      <c r="C3" s="23" t="s">
        <v>86</v>
      </c>
      <c r="D3" s="23" t="s">
        <v>96</v>
      </c>
      <c r="I3" s="56" t="s">
        <v>115</v>
      </c>
      <c r="J3" s="57">
        <v>300</v>
      </c>
      <c r="K3" s="53" t="s">
        <v>97</v>
      </c>
      <c r="L3" s="53" t="s">
        <v>98</v>
      </c>
      <c r="M3" s="53" t="s">
        <v>99</v>
      </c>
      <c r="N3" s="53" t="s">
        <v>100</v>
      </c>
      <c r="O3" s="53" t="s">
        <v>101</v>
      </c>
      <c r="P3" s="53" t="s">
        <v>102</v>
      </c>
      <c r="Q3" s="53" t="s">
        <v>103</v>
      </c>
      <c r="R3" s="53" t="s">
        <v>104</v>
      </c>
      <c r="S3" s="53" t="s">
        <v>105</v>
      </c>
      <c r="T3" s="53" t="s">
        <v>106</v>
      </c>
      <c r="U3" s="53" t="s">
        <v>107</v>
      </c>
    </row>
    <row r="4" spans="1:21" ht="76.5" thickTop="1" thickBot="1" x14ac:dyDescent="0.3">
      <c r="A4" s="21" t="s">
        <v>51</v>
      </c>
      <c r="B4" s="23" t="s">
        <v>79</v>
      </c>
      <c r="C4" s="23" t="s">
        <v>87</v>
      </c>
      <c r="D4" s="23"/>
      <c r="I4" s="56" t="s">
        <v>114</v>
      </c>
      <c r="J4" s="57">
        <v>50</v>
      </c>
      <c r="K4" s="54" t="s">
        <v>186</v>
      </c>
      <c r="L4" s="54" t="s">
        <v>188</v>
      </c>
      <c r="M4" s="54" t="s">
        <v>189</v>
      </c>
      <c r="N4" s="54" t="s">
        <v>192</v>
      </c>
      <c r="O4" s="54" t="s">
        <v>193</v>
      </c>
      <c r="P4" s="54" t="s">
        <v>191</v>
      </c>
      <c r="Q4" s="54" t="s">
        <v>194</v>
      </c>
      <c r="R4" s="54" t="s">
        <v>195</v>
      </c>
      <c r="S4" s="54" t="s">
        <v>196</v>
      </c>
      <c r="T4" s="54" t="s">
        <v>197</v>
      </c>
      <c r="U4" s="54" t="s">
        <v>198</v>
      </c>
    </row>
    <row r="5" spans="1:21" ht="20.25" thickTop="1" thickBot="1" x14ac:dyDescent="0.3">
      <c r="A5" s="21" t="s">
        <v>52</v>
      </c>
      <c r="B5" s="23" t="s">
        <v>80</v>
      </c>
      <c r="C5" s="23" t="s">
        <v>88</v>
      </c>
      <c r="D5" s="23"/>
      <c r="I5" s="56" t="s">
        <v>116</v>
      </c>
      <c r="J5" s="57">
        <v>400</v>
      </c>
      <c r="K5" s="55">
        <f>J8</f>
        <v>45</v>
      </c>
      <c r="L5" s="55">
        <f>K5+1</f>
        <v>46</v>
      </c>
      <c r="M5" s="55">
        <f>L5+1</f>
        <v>47</v>
      </c>
      <c r="N5" s="55">
        <f>M5+1</f>
        <v>48</v>
      </c>
      <c r="O5" s="55">
        <f>N5+1</f>
        <v>49</v>
      </c>
      <c r="P5" s="55">
        <f t="shared" ref="P5:U5" si="0">O5+1</f>
        <v>50</v>
      </c>
      <c r="Q5" s="55">
        <f t="shared" si="0"/>
        <v>51</v>
      </c>
      <c r="R5" s="55">
        <f t="shared" si="0"/>
        <v>52</v>
      </c>
      <c r="S5" s="55">
        <f t="shared" si="0"/>
        <v>53</v>
      </c>
      <c r="T5" s="55">
        <f t="shared" si="0"/>
        <v>54</v>
      </c>
      <c r="U5" s="55">
        <f t="shared" si="0"/>
        <v>55</v>
      </c>
    </row>
    <row r="6" spans="1:21" ht="33" thickTop="1" thickBot="1" x14ac:dyDescent="0.3">
      <c r="A6" s="21" t="s">
        <v>53</v>
      </c>
      <c r="B6" s="23" t="s">
        <v>81</v>
      </c>
      <c r="C6" s="23" t="s">
        <v>89</v>
      </c>
      <c r="D6" s="23"/>
      <c r="I6" s="56" t="s">
        <v>118</v>
      </c>
      <c r="J6" s="57" t="s">
        <v>117</v>
      </c>
    </row>
    <row r="7" spans="1:21" ht="33" thickTop="1" thickBot="1" x14ac:dyDescent="0.3">
      <c r="A7" s="21" t="s">
        <v>54</v>
      </c>
      <c r="B7" s="23" t="s">
        <v>44</v>
      </c>
      <c r="C7" s="23" t="s">
        <v>94</v>
      </c>
      <c r="D7" s="23"/>
      <c r="I7" s="56" t="s">
        <v>123</v>
      </c>
      <c r="J7" s="57" t="s">
        <v>141</v>
      </c>
    </row>
    <row r="8" spans="1:21" ht="33" thickTop="1" thickBot="1" x14ac:dyDescent="0.3">
      <c r="A8" s="21" t="s">
        <v>55</v>
      </c>
      <c r="B8" s="23" t="s">
        <v>82</v>
      </c>
      <c r="C8" s="23" t="s">
        <v>95</v>
      </c>
      <c r="D8" s="23"/>
      <c r="I8" s="56" t="s">
        <v>124</v>
      </c>
      <c r="J8" s="57">
        <v>45</v>
      </c>
    </row>
    <row r="9" spans="1:21" ht="64.5" thickTop="1" thickBot="1" x14ac:dyDescent="0.3">
      <c r="A9" s="21" t="s">
        <v>56</v>
      </c>
      <c r="B9" s="23" t="s">
        <v>83</v>
      </c>
      <c r="C9" s="23" t="s">
        <v>90</v>
      </c>
      <c r="D9" s="23"/>
      <c r="I9" s="56" t="s">
        <v>125</v>
      </c>
      <c r="J9" s="57" t="s">
        <v>127</v>
      </c>
    </row>
    <row r="10" spans="1:21" ht="33" thickTop="1" thickBot="1" x14ac:dyDescent="0.3">
      <c r="A10" s="21" t="s">
        <v>57</v>
      </c>
      <c r="B10" s="23" t="s">
        <v>84</v>
      </c>
      <c r="C10" s="23" t="s">
        <v>81</v>
      </c>
      <c r="D10" s="23"/>
      <c r="I10" s="56" t="s">
        <v>126</v>
      </c>
      <c r="J10" s="57" t="s">
        <v>128</v>
      </c>
    </row>
    <row r="11" spans="1:21" ht="33" thickTop="1" thickBot="1" x14ac:dyDescent="0.3">
      <c r="A11" s="21" t="s">
        <v>58</v>
      </c>
      <c r="B11" s="23"/>
      <c r="C11" s="23" t="s">
        <v>91</v>
      </c>
      <c r="D11" s="23"/>
      <c r="I11" s="56" t="s">
        <v>185</v>
      </c>
      <c r="J11" s="57">
        <v>1234</v>
      </c>
    </row>
    <row r="12" spans="1:21" ht="33" thickTop="1" thickBot="1" x14ac:dyDescent="0.3">
      <c r="A12" s="21" t="s">
        <v>59</v>
      </c>
      <c r="B12" s="23"/>
      <c r="C12" s="23" t="s">
        <v>92</v>
      </c>
      <c r="D12" s="23"/>
      <c r="I12" s="71" t="s">
        <v>178</v>
      </c>
      <c r="J12" s="59" t="s">
        <v>167</v>
      </c>
      <c r="K12" s="55" t="s">
        <v>103</v>
      </c>
      <c r="L12" s="55">
        <v>4</v>
      </c>
      <c r="M12" s="55">
        <v>5</v>
      </c>
      <c r="N12" s="55">
        <v>8</v>
      </c>
      <c r="O12" s="55">
        <v>11</v>
      </c>
      <c r="P12" s="55">
        <v>13</v>
      </c>
      <c r="Q12" s="55">
        <v>20</v>
      </c>
      <c r="R12" s="55">
        <v>39</v>
      </c>
      <c r="S12" s="55"/>
      <c r="T12" s="55"/>
      <c r="U12" s="55"/>
    </row>
    <row r="13" spans="1:21" ht="33" thickTop="1" thickBot="1" x14ac:dyDescent="0.3">
      <c r="A13" s="21" t="s">
        <v>60</v>
      </c>
      <c r="B13" s="23"/>
      <c r="C13" s="23" t="s">
        <v>93</v>
      </c>
      <c r="D13" s="23"/>
      <c r="I13" s="72"/>
      <c r="J13" s="59" t="s">
        <v>170</v>
      </c>
      <c r="K13" s="55" t="s">
        <v>103</v>
      </c>
      <c r="L13" s="55">
        <v>3</v>
      </c>
      <c r="M13" s="55">
        <v>4</v>
      </c>
      <c r="N13" s="55">
        <v>5</v>
      </c>
      <c r="O13" s="55">
        <v>6</v>
      </c>
      <c r="P13" s="55">
        <v>7</v>
      </c>
      <c r="Q13" s="55">
        <v>8</v>
      </c>
      <c r="R13" s="55">
        <v>9</v>
      </c>
      <c r="S13" s="55"/>
      <c r="T13" s="55"/>
      <c r="U13" s="55"/>
    </row>
    <row r="14" spans="1:21" ht="20.25" thickTop="1" thickBot="1" x14ac:dyDescent="0.3">
      <c r="A14" s="21" t="s">
        <v>61</v>
      </c>
      <c r="B14" s="23"/>
      <c r="C14" s="23" t="s">
        <v>44</v>
      </c>
      <c r="D14" s="23"/>
      <c r="I14" s="72"/>
      <c r="J14" s="59" t="s">
        <v>171</v>
      </c>
      <c r="K14" s="55">
        <v>23</v>
      </c>
      <c r="L14" s="55">
        <v>24</v>
      </c>
      <c r="M14" s="55">
        <v>25</v>
      </c>
      <c r="N14" s="55">
        <v>26</v>
      </c>
      <c r="O14" s="55">
        <v>27</v>
      </c>
      <c r="P14" s="55">
        <v>28</v>
      </c>
      <c r="Q14" s="55">
        <v>29</v>
      </c>
      <c r="R14" s="55">
        <v>30</v>
      </c>
      <c r="S14" s="55">
        <v>31</v>
      </c>
      <c r="T14" s="55">
        <v>32</v>
      </c>
      <c r="U14" s="55">
        <v>33</v>
      </c>
    </row>
    <row r="15" spans="1:21" ht="33" thickTop="1" thickBot="1" x14ac:dyDescent="0.3">
      <c r="A15" s="21" t="s">
        <v>62</v>
      </c>
      <c r="B15" s="23"/>
      <c r="C15" s="23" t="s">
        <v>84</v>
      </c>
      <c r="D15" s="23"/>
      <c r="I15" s="72"/>
      <c r="J15" s="59" t="s">
        <v>174</v>
      </c>
      <c r="K15" s="55">
        <v>1</v>
      </c>
      <c r="L15" s="55"/>
      <c r="M15" s="55"/>
      <c r="N15" s="55"/>
      <c r="O15" s="55"/>
      <c r="P15" s="55"/>
      <c r="Q15" s="55"/>
      <c r="R15" s="55"/>
      <c r="S15" s="55"/>
      <c r="T15" s="55"/>
      <c r="U15" s="55"/>
    </row>
    <row r="16" spans="1:21" ht="48.75" thickTop="1" thickBot="1" x14ac:dyDescent="0.3">
      <c r="A16" s="21" t="s">
        <v>63</v>
      </c>
      <c r="B16" s="23"/>
      <c r="C16" s="23"/>
      <c r="D16" s="23"/>
      <c r="I16" s="72"/>
      <c r="J16" s="59" t="s">
        <v>175</v>
      </c>
      <c r="K16" s="55">
        <v>1</v>
      </c>
      <c r="L16" s="55"/>
      <c r="M16" s="55"/>
      <c r="N16" s="55"/>
      <c r="O16" s="55"/>
      <c r="P16" s="55"/>
      <c r="Q16" s="55"/>
      <c r="R16" s="55"/>
      <c r="S16" s="55"/>
      <c r="T16" s="55"/>
      <c r="U16" s="55"/>
    </row>
    <row r="17" spans="1:21" ht="33" thickTop="1" thickBot="1" x14ac:dyDescent="0.3">
      <c r="A17" s="21" t="s">
        <v>64</v>
      </c>
      <c r="B17" s="23"/>
      <c r="C17" s="23"/>
      <c r="D17" s="23"/>
      <c r="I17" s="72"/>
      <c r="J17" s="59" t="s">
        <v>176</v>
      </c>
      <c r="K17" s="55">
        <v>4</v>
      </c>
      <c r="L17" s="55"/>
      <c r="M17" s="55"/>
      <c r="N17" s="55"/>
      <c r="O17" s="55"/>
      <c r="P17" s="55"/>
      <c r="Q17" s="55"/>
      <c r="R17" s="55"/>
      <c r="S17" s="55"/>
      <c r="T17" s="55"/>
      <c r="U17" s="55"/>
    </row>
    <row r="18" spans="1:21" ht="20.25" thickTop="1" thickBot="1" x14ac:dyDescent="0.3">
      <c r="A18" s="21" t="s">
        <v>65</v>
      </c>
      <c r="B18" s="23"/>
      <c r="C18" s="23"/>
      <c r="D18" s="23"/>
      <c r="I18" s="73"/>
      <c r="J18" s="59" t="s">
        <v>177</v>
      </c>
      <c r="K18" s="55">
        <v>3</v>
      </c>
      <c r="L18" s="55"/>
      <c r="M18" s="55"/>
      <c r="N18" s="55"/>
      <c r="O18" s="55"/>
      <c r="P18" s="55"/>
      <c r="Q18" s="55"/>
      <c r="R18" s="55"/>
      <c r="S18" s="55"/>
      <c r="T18" s="55"/>
      <c r="U18" s="55"/>
    </row>
    <row r="19" spans="1:21" ht="48.75" thickTop="1" thickBot="1" x14ac:dyDescent="0.3">
      <c r="A19" s="21" t="s">
        <v>66</v>
      </c>
      <c r="B19" s="23"/>
      <c r="C19" s="23"/>
      <c r="D19" s="23"/>
      <c r="I19" s="56" t="s">
        <v>179</v>
      </c>
      <c r="J19" s="58">
        <v>255</v>
      </c>
      <c r="K19" s="58">
        <v>0</v>
      </c>
      <c r="L19" s="58">
        <v>0</v>
      </c>
    </row>
    <row r="20" spans="1:21" ht="48.75" thickTop="1" thickBot="1" x14ac:dyDescent="0.3">
      <c r="A20" s="21" t="s">
        <v>67</v>
      </c>
      <c r="B20" s="23"/>
      <c r="C20" s="23"/>
      <c r="D20" s="23"/>
      <c r="I20" s="56" t="s">
        <v>181</v>
      </c>
      <c r="J20" s="57" t="s">
        <v>182</v>
      </c>
    </row>
    <row r="21" spans="1:21" ht="20.25" thickTop="1" thickBot="1" x14ac:dyDescent="0.3">
      <c r="A21" s="21" t="s">
        <v>68</v>
      </c>
      <c r="B21" s="23"/>
      <c r="C21" s="23"/>
      <c r="D21" s="23"/>
      <c r="I21" s="56" t="s">
        <v>183</v>
      </c>
      <c r="J21" s="57" t="s">
        <v>184</v>
      </c>
    </row>
    <row r="22" spans="1:21" ht="33" thickTop="1" thickBot="1" x14ac:dyDescent="0.3">
      <c r="A22" s="21" t="s">
        <v>69</v>
      </c>
      <c r="B22" s="23"/>
      <c r="C22" s="23"/>
      <c r="D22" s="23"/>
      <c r="I22" s="56" t="s">
        <v>187</v>
      </c>
      <c r="J22" s="60">
        <f>GetDeptsNumber(K3:AD3,K4:AD4,K5:AD5,K13:AD13)</f>
        <v>8</v>
      </c>
      <c r="K22" s="61"/>
    </row>
    <row r="23" spans="1:21" ht="48.75" thickTop="1" thickBot="1" x14ac:dyDescent="0.3">
      <c r="A23" s="21" t="s">
        <v>70</v>
      </c>
      <c r="B23" s="23"/>
      <c r="C23" s="23"/>
      <c r="D23" s="23"/>
      <c r="I23" s="56" t="s">
        <v>203</v>
      </c>
      <c r="J23" s="54" t="s">
        <v>202</v>
      </c>
    </row>
    <row r="24" spans="1:21" ht="63.75" thickTop="1" x14ac:dyDescent="0.25">
      <c r="A24" s="21" t="s">
        <v>71</v>
      </c>
      <c r="B24" s="23"/>
      <c r="C24" s="23"/>
      <c r="D24" s="23"/>
    </row>
    <row r="25" spans="1:21" ht="15.75" x14ac:dyDescent="0.25">
      <c r="A25" s="21" t="s">
        <v>72</v>
      </c>
      <c r="B25" s="23"/>
      <c r="C25" s="23"/>
      <c r="D25" s="23"/>
    </row>
    <row r="26" spans="1:21" ht="31.5" x14ac:dyDescent="0.25">
      <c r="A26" s="21" t="s">
        <v>73</v>
      </c>
      <c r="B26" s="23"/>
      <c r="C26" s="23"/>
      <c r="D26" s="23"/>
    </row>
    <row r="27" spans="1:21" ht="31.5" x14ac:dyDescent="0.25">
      <c r="A27" s="21" t="s">
        <v>74</v>
      </c>
      <c r="B27" s="23"/>
      <c r="C27" s="23"/>
      <c r="D27" s="23"/>
    </row>
    <row r="28" spans="1:21" ht="63" x14ac:dyDescent="0.25">
      <c r="A28" s="21" t="s">
        <v>75</v>
      </c>
      <c r="B28" s="23"/>
      <c r="C28" s="23"/>
      <c r="D28" s="23"/>
    </row>
    <row r="29" spans="1:21" ht="15.75" x14ac:dyDescent="0.25">
      <c r="A29" s="21" t="s">
        <v>76</v>
      </c>
      <c r="B29" s="23"/>
      <c r="C29" s="23"/>
      <c r="D29" s="23"/>
    </row>
    <row r="30" spans="1:21" ht="63" x14ac:dyDescent="0.25">
      <c r="A30" s="21" t="s">
        <v>77</v>
      </c>
      <c r="B30" s="23"/>
      <c r="C30" s="23"/>
      <c r="D30" s="23"/>
    </row>
    <row r="31" spans="1:21" ht="15.75" x14ac:dyDescent="0.25">
      <c r="A31" s="31"/>
      <c r="B31" s="23"/>
      <c r="C31" s="23"/>
      <c r="D31" s="23"/>
    </row>
    <row r="32" spans="1:21" x14ac:dyDescent="0.25">
      <c r="A32" s="22"/>
      <c r="B32" s="22"/>
      <c r="C32" s="22"/>
      <c r="D32" s="22"/>
    </row>
    <row r="33" spans="1:4" x14ac:dyDescent="0.25">
      <c r="A33" s="22"/>
      <c r="B33" s="22"/>
      <c r="C33" s="22"/>
      <c r="D33" s="22"/>
    </row>
    <row r="34" spans="1:4" x14ac:dyDescent="0.25">
      <c r="A34" s="22"/>
      <c r="B34" s="22"/>
      <c r="C34" s="22"/>
      <c r="D34" s="22"/>
    </row>
    <row r="35" spans="1:4" x14ac:dyDescent="0.25">
      <c r="A35" s="22"/>
      <c r="B35" s="22"/>
      <c r="C35" s="22"/>
      <c r="D35" s="22"/>
    </row>
    <row r="36" spans="1:4" x14ac:dyDescent="0.25">
      <c r="A36" s="22"/>
      <c r="B36" s="22"/>
      <c r="C36" s="22"/>
      <c r="D36" s="22"/>
    </row>
    <row r="37" spans="1:4" x14ac:dyDescent="0.25">
      <c r="A37" s="22"/>
      <c r="B37" s="22"/>
      <c r="C37" s="22"/>
      <c r="D37" s="22"/>
    </row>
    <row r="38" spans="1:4" x14ac:dyDescent="0.25">
      <c r="A38" s="22"/>
      <c r="B38" s="22"/>
      <c r="C38" s="22"/>
      <c r="D38" s="22"/>
    </row>
    <row r="39" spans="1:4" x14ac:dyDescent="0.25">
      <c r="A39" s="22"/>
      <c r="B39" s="22"/>
      <c r="C39" s="22"/>
      <c r="D39" s="22"/>
    </row>
    <row r="40" spans="1:4" x14ac:dyDescent="0.25">
      <c r="A40" s="22"/>
      <c r="B40" s="22"/>
      <c r="C40" s="22"/>
      <c r="D40" s="22"/>
    </row>
    <row r="41" spans="1:4" x14ac:dyDescent="0.25">
      <c r="A41" s="22"/>
      <c r="B41" s="22"/>
      <c r="C41" s="22"/>
      <c r="D41" s="22"/>
    </row>
    <row r="42" spans="1:4" x14ac:dyDescent="0.25">
      <c r="A42" s="22"/>
      <c r="B42" s="22"/>
      <c r="C42" s="22"/>
      <c r="D42" s="22"/>
    </row>
    <row r="43" spans="1:4" x14ac:dyDescent="0.25">
      <c r="A43" s="22"/>
      <c r="B43" s="22"/>
      <c r="C43" s="22"/>
      <c r="D43" s="22"/>
    </row>
    <row r="44" spans="1:4" x14ac:dyDescent="0.25">
      <c r="A44" s="22"/>
      <c r="B44" s="22"/>
      <c r="C44" s="22"/>
      <c r="D44" s="22"/>
    </row>
    <row r="45" spans="1:4" x14ac:dyDescent="0.25">
      <c r="A45" s="22"/>
      <c r="B45" s="22"/>
      <c r="C45" s="22"/>
      <c r="D45" s="22"/>
    </row>
    <row r="46" spans="1:4" x14ac:dyDescent="0.25">
      <c r="A46" s="22"/>
      <c r="B46" s="22"/>
      <c r="C46" s="22"/>
      <c r="D46" s="22"/>
    </row>
    <row r="47" spans="1:4" x14ac:dyDescent="0.25">
      <c r="A47" s="22"/>
      <c r="B47" s="22"/>
      <c r="C47" s="22"/>
      <c r="D47" s="22"/>
    </row>
    <row r="48" spans="1:4" x14ac:dyDescent="0.25">
      <c r="A48" s="22"/>
      <c r="B48" s="22"/>
      <c r="C48" s="22"/>
      <c r="D48" s="22"/>
    </row>
    <row r="49" spans="1:4" x14ac:dyDescent="0.25">
      <c r="A49" s="22"/>
      <c r="B49" s="22"/>
      <c r="C49" s="22"/>
      <c r="D49" s="22"/>
    </row>
    <row r="50" spans="1:4" x14ac:dyDescent="0.25">
      <c r="A50" s="22"/>
      <c r="B50" s="22"/>
      <c r="C50" s="22"/>
      <c r="D50" s="22"/>
    </row>
    <row r="51" spans="1:4" x14ac:dyDescent="0.25">
      <c r="A51" s="22"/>
      <c r="B51" s="22"/>
      <c r="C51" s="22"/>
      <c r="D51" s="22"/>
    </row>
    <row r="52" spans="1:4" x14ac:dyDescent="0.25">
      <c r="A52" s="22"/>
      <c r="B52" s="22"/>
      <c r="C52" s="22"/>
      <c r="D52" s="22"/>
    </row>
    <row r="53" spans="1:4" x14ac:dyDescent="0.25">
      <c r="A53" s="22"/>
      <c r="B53" s="22"/>
      <c r="C53" s="22"/>
      <c r="D53" s="22"/>
    </row>
    <row r="54" spans="1:4" x14ac:dyDescent="0.25">
      <c r="A54" s="22"/>
      <c r="B54" s="22"/>
      <c r="C54" s="22"/>
      <c r="D54" s="22"/>
    </row>
    <row r="55" spans="1:4" x14ac:dyDescent="0.25">
      <c r="A55" s="22"/>
      <c r="B55" s="22"/>
      <c r="C55" s="22"/>
      <c r="D55" s="22"/>
    </row>
    <row r="56" spans="1:4" x14ac:dyDescent="0.25">
      <c r="A56" s="22"/>
      <c r="B56" s="22"/>
      <c r="C56" s="22"/>
      <c r="D56" s="22"/>
    </row>
    <row r="57" spans="1:4" x14ac:dyDescent="0.25">
      <c r="A57" s="22"/>
      <c r="B57" s="22"/>
      <c r="C57" s="22"/>
      <c r="D57" s="22"/>
    </row>
    <row r="58" spans="1:4" x14ac:dyDescent="0.25">
      <c r="A58" s="22"/>
      <c r="B58" s="22"/>
      <c r="C58" s="22"/>
      <c r="D58" s="22"/>
    </row>
    <row r="59" spans="1:4" x14ac:dyDescent="0.25">
      <c r="A59" s="22"/>
      <c r="B59" s="22"/>
      <c r="C59" s="22"/>
      <c r="D59" s="22"/>
    </row>
    <row r="60" spans="1:4" x14ac:dyDescent="0.25">
      <c r="A60" s="22"/>
      <c r="B60" s="22"/>
      <c r="C60" s="22"/>
      <c r="D60" s="22"/>
    </row>
    <row r="61" spans="1:4" x14ac:dyDescent="0.25">
      <c r="A61" s="22"/>
      <c r="B61" s="22"/>
      <c r="C61" s="22"/>
      <c r="D61" s="22"/>
    </row>
    <row r="62" spans="1:4" x14ac:dyDescent="0.25">
      <c r="A62" s="22"/>
      <c r="B62" s="22"/>
      <c r="C62" s="22"/>
      <c r="D62" s="22"/>
    </row>
    <row r="63" spans="1:4" x14ac:dyDescent="0.25">
      <c r="A63" s="22"/>
      <c r="B63" s="22"/>
      <c r="C63" s="22"/>
      <c r="D63" s="22"/>
    </row>
    <row r="64" spans="1:4" x14ac:dyDescent="0.25">
      <c r="A64" s="22"/>
      <c r="B64" s="22"/>
      <c r="C64" s="22"/>
      <c r="D64" s="22"/>
    </row>
    <row r="65" spans="1:4" x14ac:dyDescent="0.25">
      <c r="A65" s="22"/>
      <c r="B65" s="22"/>
      <c r="C65" s="22"/>
      <c r="D65" s="22"/>
    </row>
    <row r="66" spans="1:4" x14ac:dyDescent="0.25">
      <c r="A66" s="22"/>
      <c r="B66" s="22"/>
      <c r="C66" s="22"/>
      <c r="D66" s="22"/>
    </row>
    <row r="67" spans="1:4" x14ac:dyDescent="0.25">
      <c r="A67" s="22"/>
      <c r="B67" s="22"/>
      <c r="C67" s="22"/>
      <c r="D67" s="22"/>
    </row>
    <row r="68" spans="1:4" x14ac:dyDescent="0.25">
      <c r="A68" s="22"/>
      <c r="B68" s="22"/>
      <c r="C68" s="22"/>
      <c r="D68" s="22"/>
    </row>
    <row r="69" spans="1:4" x14ac:dyDescent="0.25">
      <c r="A69" s="22"/>
      <c r="B69" s="22"/>
      <c r="C69" s="22"/>
      <c r="D69" s="22"/>
    </row>
    <row r="70" spans="1:4" x14ac:dyDescent="0.25">
      <c r="A70" s="22"/>
      <c r="B70" s="22"/>
      <c r="C70" s="22"/>
      <c r="D70" s="22"/>
    </row>
    <row r="71" spans="1:4" x14ac:dyDescent="0.25">
      <c r="A71" s="22"/>
      <c r="B71" s="22"/>
      <c r="C71" s="22"/>
      <c r="D71" s="22"/>
    </row>
    <row r="72" spans="1:4" x14ac:dyDescent="0.25">
      <c r="A72" s="22"/>
      <c r="B72" s="22"/>
      <c r="C72" s="22"/>
      <c r="D72" s="22"/>
    </row>
    <row r="73" spans="1:4" x14ac:dyDescent="0.25">
      <c r="A73" s="22"/>
      <c r="B73" s="22"/>
      <c r="C73" s="22"/>
      <c r="D73" s="22"/>
    </row>
    <row r="74" spans="1:4" x14ac:dyDescent="0.25">
      <c r="A74" s="22"/>
      <c r="B74" s="22"/>
      <c r="C74" s="22"/>
      <c r="D74" s="22"/>
    </row>
    <row r="75" spans="1:4" x14ac:dyDescent="0.25">
      <c r="A75" s="22"/>
      <c r="B75" s="22"/>
      <c r="C75" s="22"/>
      <c r="D75" s="22"/>
    </row>
    <row r="76" spans="1:4" x14ac:dyDescent="0.25">
      <c r="A76" s="22"/>
      <c r="B76" s="22"/>
      <c r="C76" s="22"/>
      <c r="D76" s="22"/>
    </row>
    <row r="77" spans="1:4" x14ac:dyDescent="0.25">
      <c r="A77" s="22"/>
      <c r="B77" s="22"/>
      <c r="C77" s="22"/>
      <c r="D77" s="22"/>
    </row>
    <row r="78" spans="1:4" x14ac:dyDescent="0.25">
      <c r="A78" s="22"/>
      <c r="B78" s="22"/>
      <c r="C78" s="22"/>
      <c r="D78" s="22"/>
    </row>
    <row r="79" spans="1:4" x14ac:dyDescent="0.25">
      <c r="A79" s="22"/>
      <c r="B79" s="22"/>
      <c r="C79" s="22"/>
      <c r="D79" s="22"/>
    </row>
    <row r="80" spans="1:4" x14ac:dyDescent="0.25">
      <c r="A80" s="22"/>
      <c r="B80" s="22"/>
      <c r="C80" s="22"/>
      <c r="D80" s="22"/>
    </row>
    <row r="81" spans="1:4" x14ac:dyDescent="0.25">
      <c r="A81" s="22"/>
      <c r="B81" s="22"/>
      <c r="C81" s="22"/>
      <c r="D81" s="22"/>
    </row>
    <row r="82" spans="1:4" x14ac:dyDescent="0.25">
      <c r="A82" s="22"/>
      <c r="B82" s="22"/>
      <c r="C82" s="22"/>
      <c r="D82" s="22"/>
    </row>
    <row r="83" spans="1:4" x14ac:dyDescent="0.25">
      <c r="A83" s="22"/>
      <c r="B83" s="22"/>
      <c r="C83" s="22"/>
      <c r="D83" s="22"/>
    </row>
    <row r="84" spans="1:4" x14ac:dyDescent="0.25">
      <c r="A84" s="22"/>
      <c r="B84" s="22"/>
      <c r="C84" s="22"/>
      <c r="D84" s="22"/>
    </row>
    <row r="85" spans="1:4" x14ac:dyDescent="0.25">
      <c r="A85" s="22"/>
      <c r="B85" s="22"/>
      <c r="C85" s="22"/>
      <c r="D85" s="22"/>
    </row>
    <row r="86" spans="1:4" x14ac:dyDescent="0.25">
      <c r="A86" s="22"/>
      <c r="B86" s="22"/>
      <c r="C86" s="22"/>
      <c r="D86" s="22"/>
    </row>
    <row r="87" spans="1:4" x14ac:dyDescent="0.25">
      <c r="A87" s="22"/>
      <c r="B87" s="22"/>
      <c r="C87" s="22"/>
      <c r="D87" s="22"/>
    </row>
    <row r="88" spans="1:4" x14ac:dyDescent="0.25">
      <c r="A88" s="22"/>
      <c r="B88" s="22"/>
      <c r="C88" s="22"/>
      <c r="D88" s="22"/>
    </row>
    <row r="89" spans="1:4" x14ac:dyDescent="0.25">
      <c r="A89" s="22"/>
      <c r="B89" s="22"/>
      <c r="C89" s="22"/>
      <c r="D89" s="22"/>
    </row>
    <row r="90" spans="1:4" x14ac:dyDescent="0.25">
      <c r="A90" s="22"/>
      <c r="B90" s="22"/>
      <c r="C90" s="22"/>
      <c r="D90" s="22"/>
    </row>
    <row r="91" spans="1:4" x14ac:dyDescent="0.25">
      <c r="A91" s="22"/>
      <c r="B91" s="22"/>
      <c r="C91" s="22"/>
      <c r="D91" s="22"/>
    </row>
    <row r="92" spans="1:4" x14ac:dyDescent="0.25">
      <c r="A92" s="22"/>
      <c r="B92" s="22"/>
      <c r="C92" s="22"/>
      <c r="D92" s="22"/>
    </row>
    <row r="93" spans="1:4" x14ac:dyDescent="0.25">
      <c r="A93" s="22"/>
      <c r="B93" s="22"/>
      <c r="C93" s="22"/>
      <c r="D93" s="22"/>
    </row>
    <row r="94" spans="1:4" x14ac:dyDescent="0.25">
      <c r="A94" s="22"/>
      <c r="B94" s="22"/>
      <c r="C94" s="22"/>
      <c r="D94" s="22"/>
    </row>
    <row r="95" spans="1:4" x14ac:dyDescent="0.25">
      <c r="A95" s="22"/>
      <c r="B95" s="22"/>
      <c r="C95" s="22"/>
      <c r="D95" s="22"/>
    </row>
    <row r="96" spans="1:4" x14ac:dyDescent="0.25">
      <c r="A96" s="22"/>
      <c r="B96" s="22"/>
      <c r="C96" s="22"/>
      <c r="D96" s="22"/>
    </row>
    <row r="97" spans="1:4" x14ac:dyDescent="0.25">
      <c r="A97" s="22"/>
      <c r="B97" s="22"/>
      <c r="C97" s="22"/>
      <c r="D97" s="22"/>
    </row>
    <row r="98" spans="1:4" x14ac:dyDescent="0.25">
      <c r="A98" s="22"/>
      <c r="B98" s="22"/>
      <c r="C98" s="22"/>
      <c r="D98" s="22"/>
    </row>
    <row r="99" spans="1:4" x14ac:dyDescent="0.25">
      <c r="A99" s="22"/>
      <c r="B99" s="22"/>
      <c r="C99" s="22"/>
      <c r="D99" s="22"/>
    </row>
  </sheetData>
  <mergeCells count="2">
    <mergeCell ref="I1:U1"/>
    <mergeCell ref="I12:I18"/>
  </mergeCells>
  <conditionalFormatting sqref="J22">
    <cfRule type="cellIs" dxfId="10" priority="5" operator="lessThan">
      <formula>0</formula>
    </cfRule>
  </conditionalFormatting>
  <conditionalFormatting sqref="K14:U14 K3:U5">
    <cfRule type="expression" dxfId="9" priority="3">
      <formula>AND(SUM(LEN(TRIM(K1048568))&gt;0)&lt;&gt;SUM(LEN(TRIM(K1048569))&gt;0),SUM(LEN(TRIM(K1048568))&gt;0)&lt;&gt;SUM(LEN(TRIM(K1048570))&gt;0),SUM(LEN(TRIM(K1048568))&gt;0)&lt;&gt;SUM(LEN(TRIM(K3))&gt;0))</formula>
    </cfRule>
  </conditionalFormatting>
  <conditionalFormatting sqref="K3:U3">
    <cfRule type="expression" dxfId="8" priority="2">
      <formula>IFERROR(IF(SEARCH(K3,K2)&gt;0,0,1),1)</formula>
    </cfRule>
  </conditionalFormatting>
  <conditionalFormatting sqref="J23">
    <cfRule type="expression" dxfId="7" priority="1">
      <formula>AND(SUM(LEN(TRIM(J12))&gt;0)&lt;&gt;SUM(LEN(TRIM(J13))&gt;0),SUM(LEN(TRIM(J12))&gt;0)&lt;&gt;SUM(LEN(TRIM(J14))&gt;0),SUM(LEN(TRIM(J12))&gt;0)&lt;&gt;SUM(LEN(TRIM(J23))&gt;0))</formula>
    </cfRule>
  </conditionalFormatting>
  <dataValidations count="29">
    <dataValidation type="whole" allowBlank="1" showInputMessage="1" showErrorMessage="1" sqref="J3:J5 J8">
      <formula1>0</formula1>
      <formula2>10000</formula2>
    </dataValidation>
    <dataValidation type="whole" allowBlank="1" showInputMessage="1" showErrorMessage="1" errorTitle="ВНИМАНИЕ!!!" error="Внесите сюда целое число - порядковый номер столбца" sqref="K12:U18">
      <formula1>0</formula1>
      <formula2>1000</formula2>
    </dataValidation>
    <dataValidation allowBlank="1" showInputMessage="1" showErrorMessage="1" promptTitle="ПОЯСНЕНИЕ:" prompt="Здесь хранятся номера столбцов, в которых содержиться информация о количестве проб на текущий (указанный) отдел." sqref="J14"/>
    <dataValidation allowBlank="1" showInputMessage="1" showErrorMessage="1" promptTitle="ПОЯСНЕНИЕ:" prompt="Номера столбцов в журнале ОПП ОТКУДА копируются данные" sqref="J12"/>
    <dataValidation allowBlank="1" showInputMessage="1" showErrorMessage="1" promptTitle="ПОЯСНЕНИЕ:" prompt="Номера столбцов в журналах отделов КУДА копируются данные" sqref="J13"/>
    <dataValidation allowBlank="1" showInputMessage="1" showErrorMessage="1" promptTitle="ПОЯСНЕНИЕ:" prompt="Номера столбцов в журнале ОПП в которых содержится метка о том, что необходимо обновить данные для текущего отдела" sqref="K5:U5"/>
    <dataValidation allowBlank="1" showInputMessage="1" showErrorMessage="1" promptTitle="ПОЯСНЕНИЕ:" prompt="Номер столбца в журнале ОПП с ID-номером" sqref="J15"/>
    <dataValidation allowBlank="1" showInputMessage="1" showErrorMessage="1" promptTitle="ПОЯСНЕНИЕ:" prompt="Номер столбца в журнале ОТДЕЛА с ID-номером" sqref="J16"/>
    <dataValidation allowBlank="1" showInputMessage="1" showErrorMessage="1" promptTitle="ПОЯСНЕНИЕ:" prompt="Номер столбца в журнале ОПП с кодом лаборатории (номер пробы)" sqref="J17"/>
    <dataValidation allowBlank="1" showInputMessage="1" showErrorMessage="1" promptTitle="ПОЯСНЕНИЕ:" prompt="Номер столбца в журнале ОТДЕЛА с кодом лаборатории (номер пробы)" sqref="J18"/>
    <dataValidation allowBlank="1" showInputMessage="1" showErrorMessage="1" promptTitle="ПОЯСНЕНИЕ:" prompt="ДАННЫЕ ЯЧЕЙКИ СОДЕРЖАТ ЗНАЧЕНИЕ ЦВЕТА (КОДИРОВКА в RGB - Red Green Blue) ДЛЯ ЗАЛИВКИ ЯЧЕЕК, СТРОКИ КОТОРЫХ НЕ СООТВЕТСТВУЮТ ПО КОДУ ЛАБОРАТОРИИ ВО ВРЕМЯ ПЕРЕНОСА ДАННЫХ ИЗ ТЕКУЩЕГО В ЖУРНАЛ ОТДЕЛА!!!" sqref="I19"/>
    <dataValidation type="whole" allowBlank="1" showInputMessage="1" showErrorMessage="1" errorTitle="ВНИМАНИЕ!!!" error="Внесите сюда целое число - порядковый номер столбца" promptTitle="RGB" prompt="Red" sqref="J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Green" sqref="K19">
      <formula1>0</formula1>
      <formula2>1000</formula2>
    </dataValidation>
    <dataValidation type="whole" allowBlank="1" showInputMessage="1" showErrorMessage="1" errorTitle="ВНИМАНИЕ!!!" error="Внесите сюда целое число - порядковый номер столбца" promptTitle="RGB" prompt="Blue" sqref="L19">
      <formula1>0</formula1>
      <formula2>1000</formula2>
    </dataValidation>
    <dataValidation allowBlank="1" showInputMessage="1" showErrorMessage="1" promptTitle="ПОЯСНЕНИЕ:" prompt="МАКИСМАЛЬНОЕ КОЛИЧЕСТВО ПРОБ, ОТПИСАННОЕ НА ТЕКУЩИЙ ОТДЕЛ" sqref="I5"/>
    <dataValidation allowBlank="1" showInputMessage="1" showErrorMessage="1" promptTitle="ПОЯСНЕНИЕ:" prompt="ЗНАЧЕНИЕ КОДА ЛАБОРАТОРИИ В СЛУЧАЕ, ЕСЛИ ВВЕДЕНЫ НЕ КОРРЕКТНЫЕ (НЕ ПОЛНЫЕ) ДАННЫЕ" sqref="I6"/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СООТВЕТСТВУЮЩЕГО ОТДЕЛА" sqref="I7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I3"/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I4"/>
    <dataValidation allowBlank="1" showInputMessage="1" showErrorMessage="1" promptTitle="ПОЯСНЕНИЕ:" prompt="КОДИРОВКА ТЕКУЩЕГО ОТДЕЛА ИЛЦ._x000a_ДОЛЖНА БЫТЬ СОСТАВНОЙ ЧАСТЬЮ (ПОДСТРОКОЙ) ДЛЯ БОЛЕЕ ПОЛНОГО НАИМЕНОВАНИЯ ОТДЕЛА!!!" sqref="K3:U3"/>
    <dataValidation allowBlank="1" showInputMessage="1" showErrorMessage="1" promptTitle="ПОЯСНЕНИЕ:" prompt="ЛИТЕРА (БУКВА) СТОЛБЦА, ИНФОРМИРУЮЩАЯ НАЧАЛО (ПЕРВЫЙ СТОЛБЕЦ) БЛОКА КОЛОНОК С КОЛИЧЕСТВОМ ПРОБ ПО ОТДЕЛАМ" sqref="I9"/>
    <dataValidation allowBlank="1" showInputMessage="1" showErrorMessage="1" promptTitle="ПОЯСНЕНИЕ:" prompt="ЛИТЕРА (БУКВА) СТОЛБЦА, ИНФОРМИРУЮЩАЯ ОКОНЧАНИЕ (ПОСЛЕДНИЙ СТОЛБЕЦ) БЛОКА КОЛОНОК С КОЛИЧЕСТВОМ ПРОБ ПО ОТДЕЛАМ" sqref="I10"/>
    <dataValidation allowBlank="1" showInputMessage="1" showErrorMessage="1" promptTitle="ПОЯСНЕНИЕ:" prompt="НАЗВАНИЕ ЛИСТОВ В КНИГАХ (ФАЙЛАХ) ОТДЕЛОВ С ОСНОВНОЙ (ЗАПОЛНЯЕМОЙ) ТАБЛИЦОЙ" sqref="I20"/>
    <dataValidation allowBlank="1" showInputMessage="1" showErrorMessage="1" promptTitle="ПОЯСНЕНИЕ:" prompt="НАЗВАНИЕ ЛИСТОВ В КНИГАХ (ФАЙЛАХ) ОТДЕЛОВ СО СПРАВОЧНОЙ (ИНФОРМАЦИОННОЙ) ТАБЛИЦОЙ" sqref="I21"/>
    <dataValidation type="custom" allowBlank="1" showInputMessage="1" showErrorMessage="1" errorTitle="ВНИМАНИЕ!!!" error="В данной ячейке должен быть полный путь к файлу Excel!!!" promptTitle="ПОЯСНЕНИЕ:" prompt="Абсолютный путь к Эксель-файлу текущего отдела." sqref="K4:U4">
      <formula1>IFERROR(SEARCH(".xlsm",K4),SEARCH(".xlsx",K4))+SEARCH(":\",K4)</formula1>
    </dataValidation>
    <dataValidation allowBlank="1" showInputMessage="1" showErrorMessage="1" errorTitle="ВНИМАНИЕ!!!" error="Внесите сюда целое число - порядковый номер столбца" promptTitle="ПОЯСНЕНИЕ:" prompt="КОЛИЧЕСТВО УЧТЕННЫХ ОТДЕЛОВ НЕ МОЖЕТ БЫТЬ МЕНЬШЕ 0 (-1) - ЭТО УЖЕ ОШИБКА - ПРОВЕРЯЙТЕ ДИАПАЗОНЫ ЯЧЕЕК K3:AD3, K4:AD4, K5:AD5, K14:AD14!!! _x000a_ВСЕ ДАННЫЕ, ПЕРЕЧЕИСЛЕННЫЕ В ЭТИХ ДИАП-Х ДОЛЖНЫ ИДТИ ПОСЛЕДОВАТЕЛЬНО (без пропусков) и НАЧИНАТЬСЯ С 1-ОГО СТОЛБЦА!" sqref="J22"/>
    <dataValidation allowBlank="1" showInputMessage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2"/>
    <dataValidation allowBlank="1" showErrorMessage="1" promptTitle="ПОЯСНЕНИЕ:" prompt="ДАННАЯ ЯЧЕЙКА СОДЕРЖИТ КОЛИЧЕСТВО ОТДЕЛОВ, ПОДКЛЮЧЕННЫХ К СИСТЕМЕ, НА ТЕКУЩИЙ МОМЕНТ с помощью формулы, которая считает коды, номера столбцов для проверки и количества проб по отделам (GetDiapsNumber)" sqref="I23"/>
    <dataValidation type="custom" allowBlank="1" showInputMessage="1" showErrorMessage="1" errorTitle="ВНИМАНИЕ!!!" error="В данной ячейке должен быть полный путь к файлу txt!!!" promptTitle="ПОЯСНЕНИЕ:" prompt="Абсолютный (или название файла - сохранится в рабочей директории / вместе с проектом) путь к Файлу Логирования Возникших Ошибок (ФОРМАТ txt!!!) при ПЕРЕНОСЕ (ОТПРАВКЕ) ДАННЫХ!!!" sqref="J23">
      <formula1>IFERROR(SEARCH(".txt",J23),0)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ExcelFilePath">
                <anchor moveWithCells="1" sizeWithCells="1">
                  <from>
                    <xdr:col>3</xdr:col>
                    <xdr:colOff>1514475</xdr:colOff>
                    <xdr:row>0</xdr:row>
                    <xdr:rowOff>0</xdr:rowOff>
                  </from>
                  <to>
                    <xdr:col>7</xdr:col>
                    <xdr:colOff>400050</xdr:colOff>
                    <xdr:row>0</xdr:row>
                    <xdr:rowOff>1266825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M3"/>
  <sheetViews>
    <sheetView zoomScale="85" zoomScaleNormal="85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27" t="s">
        <v>1</v>
      </c>
      <c r="C1" s="36" t="s">
        <v>3</v>
      </c>
      <c r="D1" s="32" t="s">
        <v>4</v>
      </c>
      <c r="E1" s="27" t="s">
        <v>7</v>
      </c>
      <c r="F1" s="27" t="s">
        <v>10</v>
      </c>
      <c r="G1" s="33" t="s">
        <v>12</v>
      </c>
      <c r="H1" s="34" t="s">
        <v>19</v>
      </c>
      <c r="I1" s="34" t="s">
        <v>169</v>
      </c>
      <c r="J1" s="33" t="s">
        <v>122</v>
      </c>
      <c r="K1" s="35" t="s">
        <v>34</v>
      </c>
      <c r="L1" s="37" t="s">
        <v>168</v>
      </c>
      <c r="M1" s="27" t="s">
        <v>180</v>
      </c>
    </row>
    <row r="2" spans="1:13" ht="110.25" x14ac:dyDescent="0.25">
      <c r="A2" s="9">
        <v>1</v>
      </c>
      <c r="B2" s="10">
        <v>45292</v>
      </c>
      <c r="C2" s="18" t="s">
        <v>120</v>
      </c>
      <c r="D2" s="12" t="s">
        <v>38</v>
      </c>
      <c r="E2" s="14" t="s">
        <v>40</v>
      </c>
      <c r="F2" s="13" t="s">
        <v>42</v>
      </c>
      <c r="G2" s="13" t="s">
        <v>43</v>
      </c>
      <c r="H2" s="13" t="s">
        <v>47</v>
      </c>
      <c r="I2" s="52"/>
      <c r="J2" s="13"/>
      <c r="K2" s="10"/>
      <c r="L2" s="52"/>
      <c r="M2" s="13"/>
    </row>
    <row r="3" spans="1:13" ht="110.25" x14ac:dyDescent="0.25">
      <c r="A3" s="9">
        <v>2</v>
      </c>
      <c r="B3" s="10">
        <v>45414</v>
      </c>
      <c r="C3" s="18" t="s">
        <v>121</v>
      </c>
      <c r="D3" s="12" t="s">
        <v>108</v>
      </c>
      <c r="E3" s="14" t="s">
        <v>40</v>
      </c>
      <c r="F3" s="13" t="s">
        <v>42</v>
      </c>
      <c r="G3" s="13" t="s">
        <v>43</v>
      </c>
      <c r="H3" s="13" t="s">
        <v>47</v>
      </c>
      <c r="I3" s="52"/>
      <c r="J3" s="13"/>
      <c r="K3" s="10"/>
      <c r="L3" s="52"/>
      <c r="M3" s="13"/>
    </row>
  </sheetData>
  <autoFilter ref="A1:M3"/>
  <dataValidations count="2">
    <dataValidation type="list" allowBlank="1" showInputMessage="1" showErrorMessage="1" sqref="E1">
      <formula1>$AQ$1:$AQ$17</formula1>
    </dataValidation>
    <dataValidation type="whole" allowBlank="1" showInputMessage="1" showErrorMessage="1" sqref="M2:M3">
      <formula1>0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C227195-7941-4882-89F1-6E50A3AF4FC4}">
            <xm:f>IF(LEN(TRIM(ОПП!C2))&gt;1,RIGHT(TRIM(ОПП!C2),1)="-",0)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TODAY()-info!$J$3</xm:f>
          </x14:formula1>
          <x14:formula2>
            <xm:f>TODAY()+info!$J$4</xm:f>
          </x14:formula2>
          <xm:sqref>K2:K3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7030A0"/>
  </sheetPr>
  <dimension ref="A2"/>
  <sheetViews>
    <sheetView workbookViewId="0">
      <selection activeCell="F19" sqref="F19"/>
    </sheetView>
  </sheetViews>
  <sheetFormatPr defaultRowHeight="15" x14ac:dyDescent="0.25"/>
  <sheetData>
    <row r="2" spans="1:1" ht="23.25" x14ac:dyDescent="0.35">
      <c r="A2" s="62" t="s">
        <v>190</v>
      </c>
    </row>
  </sheetData>
  <sheetProtection algorithmName="SHA-512" hashValue="XbDwajdQk7xeSQ0ZZrVQDIN/SQ3Dsduu0HHuxEFFOVPgWhtdayJW1Pxm1sAstSnDgZjhzagnTQI7N5vx2/NNgw==" saltValue="pVepwBjnLGYLl5a9RW71+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23"/>
  <sheetViews>
    <sheetView workbookViewId="0">
      <selection activeCell="M23" sqref="M23"/>
    </sheetView>
  </sheetViews>
  <sheetFormatPr defaultRowHeight="15" x14ac:dyDescent="0.25"/>
  <sheetData>
    <row r="1" spans="1:1" x14ac:dyDescent="0.25">
      <c r="A1" t="b">
        <f>OR(SUM(LEN(TRIM(K3))&gt;0)&lt;&gt;SUM(LEN(TRIM(K4))&gt;0),SUM(LEN(TRIM(K3))&gt;0)&lt;&gt;SUM(LEN(TRIM(K5))&gt;0),SUM(LEN(TRIM(K3))&gt;0)&lt;&gt;SUM(LEN(TRIM(K14))&gt;0))</f>
        <v>0</v>
      </c>
    </row>
    <row r="2" spans="1:1" x14ac:dyDescent="0.25">
      <c r="A2">
        <f>IFERROR(SEARCH(".txt",J23),SEARCH(".txt",J23))+SEARCH(":\",J23)</f>
        <v>6</v>
      </c>
    </row>
    <row r="23" spans="10:10" x14ac:dyDescent="0.25">
      <c r="J23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ОПП</vt:lpstr>
      <vt:lpstr>СВОД</vt:lpstr>
      <vt:lpstr>info</vt:lpstr>
      <vt:lpstr>ОТДЕЛЫ</vt:lpstr>
      <vt:lpstr>ИНСТРУКЦИЯ</vt:lpstr>
      <vt:lpstr>черновики СКРЫТЬ!!!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2024-08-01T06:13:23Z</dcterms:modified>
</cp:coreProperties>
</file>