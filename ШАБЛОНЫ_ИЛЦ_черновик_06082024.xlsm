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ОПП!$A$1:$BD$28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D50" i="1"/>
  <c r="D36" i="1"/>
  <c r="D34" i="1"/>
  <c r="D45" i="1"/>
  <c r="D44" i="1"/>
  <c r="D42" i="1"/>
  <c r="D46" i="1"/>
  <c r="D52" i="1"/>
  <c r="D41" i="1"/>
  <c r="D57" i="1"/>
  <c r="D29" i="1"/>
  <c r="D31" i="1"/>
  <c r="D55" i="1"/>
  <c r="D28" i="1"/>
  <c r="D56" i="1"/>
  <c r="D43" i="1"/>
  <c r="D51" i="1"/>
  <c r="D60" i="1"/>
  <c r="D38" i="1"/>
  <c r="D33" i="1"/>
  <c r="D30" i="1"/>
  <c r="J22" i="3"/>
  <c r="D63" i="1"/>
  <c r="D48" i="1"/>
  <c r="D40" i="1"/>
  <c r="D61" i="1"/>
  <c r="D39" i="1"/>
  <c r="D32" i="1"/>
  <c r="D37" i="1"/>
  <c r="D35" i="1"/>
  <c r="D58" i="1"/>
  <c r="D53" i="1"/>
  <c r="D59" i="1"/>
  <c r="D47" i="1"/>
  <c r="D49" i="1"/>
  <c r="D54" i="1"/>
  <c r="D62" i="1"/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4" i="1"/>
  <c r="D18" i="1"/>
  <c r="D9" i="1"/>
  <c r="D19" i="1"/>
  <c r="D26" i="1"/>
  <c r="D12" i="1"/>
  <c r="D22" i="1"/>
  <c r="D3" i="1"/>
  <c r="D17" i="1"/>
  <c r="D13" i="1"/>
  <c r="D7" i="1"/>
  <c r="D14" i="1"/>
  <c r="D15" i="1"/>
  <c r="D16" i="1"/>
  <c r="D5" i="1"/>
  <c r="D4" i="1"/>
  <c r="D23" i="1"/>
  <c r="D2" i="1"/>
  <c r="D6" i="1"/>
  <c r="D10" i="1"/>
  <c r="D21" i="1"/>
  <c r="D8" i="1"/>
  <c r="D25" i="1"/>
  <c r="D11" i="1"/>
  <c r="D27" i="1"/>
  <c r="D20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<sst xmlns="http://schemas.openxmlformats.org/spreadsheetml/2006/main" count="274" uniqueCount="204">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</sst>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zoomScale="70" zoomScaleNormal="70" workbookViewId="0">
      <pane xSplit="4" ySplit="1" topLeftCell="AP2" activePane="bottomRight" state="frozen"/>
      <selection pane="topRight" activeCell="E1" sqref="E1"/>
      <selection pane="bottomLeft" activeCell="A2" sqref="A2"/>
      <selection pane="bottomRight" activeCell="G5" sqref="G5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8" t="s">
        <v>1</v>
      </c>
      <c r="C1" s="2" t="s">
        <v>2</v>
      </c>
      <c r="D1" s="25" t="s">
        <v>3</v>
      </c>
      <c r="E1" s="3" t="s">
        <v>4</v>
      </c>
      <c r="F1" s="29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6" t="s">
        <v>20</v>
      </c>
      <c r="V1" s="1" t="s">
        <v>21</v>
      </c>
      <c r="W1" s="27" t="s">
        <v>22</v>
      </c>
      <c r="X1" s="27" t="s">
        <v>23</v>
      </c>
      <c r="Y1" s="27" t="s">
        <v>24</v>
      </c>
      <c r="Z1" s="27" t="s">
        <v>25</v>
      </c>
      <c r="AA1" s="27" t="s">
        <v>26</v>
      </c>
      <c r="AB1" s="27" t="s">
        <v>27</v>
      </c>
      <c r="AC1" s="27" t="s">
        <v>28</v>
      </c>
      <c r="AD1" s="27" t="s">
        <v>29</v>
      </c>
      <c r="AE1" s="27" t="s">
        <v>30</v>
      </c>
      <c r="AF1" s="27" t="s">
        <v>31</v>
      </c>
      <c r="AG1" s="27" t="s">
        <v>32</v>
      </c>
      <c r="AH1" s="1" t="s">
        <v>33</v>
      </c>
      <c r="AI1" s="48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6" t="str">
        <f>CONCATENATE("Обновить для ",info!K3)</f>
        <v>Обновить для 1.1</v>
      </c>
      <c r="AT1" s="26" t="str">
        <f>CONCATENATE("Обновить для ",info!L3)</f>
        <v>Обновить для 1.2</v>
      </c>
      <c r="AU1" s="26" t="str">
        <f>CONCATENATE("Обновить для ",info!M3)</f>
        <v>Обновить для 1.3</v>
      </c>
      <c r="AV1" s="26" t="str">
        <f>CONCATENATE("Обновить для ",info!N3)</f>
        <v>Обновить для 1.4</v>
      </c>
      <c r="AW1" s="26" t="str">
        <f>CONCATENATE("Обновить для ",info!O3)</f>
        <v>Обновить для 1.5</v>
      </c>
      <c r="AX1" s="26" t="str">
        <f>CONCATENATE("Обновить для ",info!P3)</f>
        <v>Обновить для 1.6</v>
      </c>
      <c r="AY1" s="26" t="str">
        <f>CONCATENATE("Обновить для ",info!Q3)</f>
        <v>Обновить для 2</v>
      </c>
      <c r="AZ1" s="26" t="str">
        <f>CONCATENATE("Обновить для ",info!R3)</f>
        <v>Обновить для 3</v>
      </c>
      <c r="BA1" s="26" t="str">
        <f>CONCATENATE("Обновить для ",info!S3)</f>
        <v>Обновить для 5</v>
      </c>
      <c r="BB1" s="26" t="str">
        <f>CONCATENATE("Обновить для ",info!T3)</f>
        <v>Обновить для 8</v>
      </c>
      <c r="BC1" s="26" t="str">
        <f>CONCATENATE("Обновить для ",info!U3)</f>
        <v>Обновить для 9</v>
      </c>
      <c r="BD1" s="25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8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7">
        <f>SUM(AS2:BC2)</f>
        <v>4</v>
      </c>
    </row>
    <row r="3" spans="1:56" ht="110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8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7">
        <f t="shared" ref="BD3:BD61" si="0">SUM(AS3:BC3)</f>
        <v>6</v>
      </c>
    </row>
    <row r="4" spans="1:56" ht="15.75" x14ac:dyDescent="0.25">
      <c r="A4" s="9">
        <v>3</v>
      </c>
      <c r="B4" s="10">
        <v>45294</v>
      </c>
      <c r="C4" s="11"/>
      <c r="D4" s="18" t="str">
        <f>GetCode(W4:AG4,info!$K$3:$U$3,B4,"-")</f>
        <v>-1.1-1.2-24-01</v>
      </c>
      <c r="E4" s="12"/>
      <c r="F4" s="12"/>
      <c r="G4" s="13"/>
      <c r="H4" s="14"/>
      <c r="I4" s="15"/>
      <c r="J4" s="16"/>
      <c r="K4" s="13"/>
      <c r="L4" s="13"/>
      <c r="M4" s="13"/>
      <c r="N4" s="13"/>
      <c r="O4" s="13"/>
      <c r="P4" s="17"/>
      <c r="Q4" s="17"/>
      <c r="R4" s="14"/>
      <c r="S4" s="13"/>
      <c r="T4" s="13"/>
      <c r="U4" s="13"/>
      <c r="V4" s="13"/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7"/>
      <c r="AJ4" s="17"/>
      <c r="AK4" s="18" t="s">
        <v>140</v>
      </c>
      <c r="AL4" s="18"/>
      <c r="AM4" s="38" t="s">
        <v>143</v>
      </c>
      <c r="AN4" s="18"/>
      <c r="AO4" s="18"/>
      <c r="AP4" s="18"/>
      <c r="AQ4" s="18"/>
      <c r="AR4" s="18"/>
      <c r="AS4" s="13">
        <v>1</v>
      </c>
      <c r="AT4" s="13"/>
      <c r="AU4" s="13">
        <v>1</v>
      </c>
      <c r="AV4" s="13"/>
      <c r="AW4" s="13"/>
      <c r="AX4" s="13"/>
      <c r="AY4" s="13">
        <v>1</v>
      </c>
      <c r="AZ4" s="13">
        <v>1</v>
      </c>
      <c r="BA4" s="13">
        <v>1</v>
      </c>
      <c r="BB4" s="13">
        <v>1</v>
      </c>
      <c r="BC4" s="13"/>
      <c r="BD4" s="62">
        <f t="shared" si="0"/>
        <v>6</v>
      </c>
    </row>
    <row r="5" spans="1:56" ht="15.75" x14ac:dyDescent="0.25">
      <c r="A5" s="9">
        <v>4</v>
      </c>
      <c r="B5" s="10">
        <v>45295</v>
      </c>
      <c r="C5" s="11"/>
      <c r="D5" s="18" t="str">
        <f>GetCode(W5:AG5,info!$K$3:$U$3,B5,"-")</f>
        <v>-1.2-24-01</v>
      </c>
      <c r="E5" s="12"/>
      <c r="F5" s="12"/>
      <c r="G5" s="13"/>
      <c r="H5" s="14" t="s">
        <v>129</v>
      </c>
      <c r="I5" s="15"/>
      <c r="J5" s="16"/>
      <c r="K5" s="13"/>
      <c r="L5" s="13"/>
      <c r="M5" s="13"/>
      <c r="N5" s="13"/>
      <c r="O5" s="13"/>
      <c r="P5" s="17"/>
      <c r="Q5" s="17"/>
      <c r="R5" s="14"/>
      <c r="S5" s="13"/>
      <c r="T5" s="13"/>
      <c r="U5" s="13"/>
      <c r="V5" s="13"/>
      <c r="W5" s="13"/>
      <c r="X5" s="13">
        <v>1</v>
      </c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7"/>
      <c r="AJ5" s="17"/>
      <c r="AK5" s="18" t="s">
        <v>201</v>
      </c>
      <c r="AL5" s="18"/>
      <c r="AM5" s="38" t="s">
        <v>200</v>
      </c>
      <c r="AN5" s="18"/>
      <c r="AO5" s="18"/>
      <c r="AP5" s="18"/>
      <c r="AQ5" s="18"/>
      <c r="AR5" s="18"/>
      <c r="AS5" s="13"/>
      <c r="AT5" s="13">
        <v>1</v>
      </c>
      <c r="AU5" s="13"/>
      <c r="AV5" s="13"/>
      <c r="AW5" s="13"/>
      <c r="AX5" s="13"/>
      <c r="AY5" s="13"/>
      <c r="AZ5" s="13"/>
      <c r="BA5" s="13"/>
      <c r="BB5" s="13"/>
      <c r="BC5" s="13"/>
      <c r="BD5" s="62">
        <f t="shared" si="0"/>
        <v>1</v>
      </c>
    </row>
    <row r="6" spans="1:56" ht="15.75" x14ac:dyDescent="0.25">
      <c r="A6" s="9">
        <v>5</v>
      </c>
      <c r="B6" s="10">
        <v>45482</v>
      </c>
      <c r="C6" s="11"/>
      <c r="D6" s="18" t="str">
        <f>GetCode(W6:AG6,info!$K$3:$U$3,B6,"-")</f>
        <v>-1.3-24-07</v>
      </c>
      <c r="E6" s="12"/>
      <c r="F6" s="12"/>
      <c r="G6" s="13"/>
      <c r="H6" s="14"/>
      <c r="I6" s="15"/>
      <c r="J6" s="16"/>
      <c r="K6" s="13"/>
      <c r="L6" s="13"/>
      <c r="M6" s="13"/>
      <c r="N6" s="13"/>
      <c r="O6" s="13"/>
      <c r="P6" s="17"/>
      <c r="Q6" s="17"/>
      <c r="R6" s="14"/>
      <c r="S6" s="13"/>
      <c r="T6" s="13"/>
      <c r="U6" s="13"/>
      <c r="V6" s="13"/>
      <c r="W6" s="13"/>
      <c r="X6" s="13"/>
      <c r="Y6" s="13">
        <v>3</v>
      </c>
      <c r="Z6" s="13"/>
      <c r="AA6" s="13"/>
      <c r="AB6" s="13"/>
      <c r="AC6" s="13"/>
      <c r="AD6" s="13"/>
      <c r="AE6" s="13"/>
      <c r="AF6" s="13"/>
      <c r="AG6" s="13"/>
      <c r="AH6" s="13"/>
      <c r="AI6" s="17"/>
      <c r="AJ6" s="17"/>
      <c r="AK6" s="18" t="s">
        <v>139</v>
      </c>
      <c r="AL6" s="18"/>
      <c r="AM6" s="38"/>
      <c r="AN6" s="18"/>
      <c r="AO6" s="18"/>
      <c r="AP6" s="18"/>
      <c r="AQ6" s="18"/>
      <c r="AR6" s="18"/>
      <c r="AS6" s="13"/>
      <c r="AT6" s="13"/>
      <c r="AU6" s="13">
        <v>1</v>
      </c>
      <c r="AV6" s="13"/>
      <c r="AW6" s="13"/>
      <c r="AX6" s="13"/>
      <c r="AY6" s="13"/>
      <c r="AZ6" s="13"/>
      <c r="BA6" s="13"/>
      <c r="BB6" s="13"/>
      <c r="BC6" s="13"/>
      <c r="BD6" s="62">
        <f t="shared" si="0"/>
        <v>1</v>
      </c>
    </row>
    <row r="7" spans="1:56" ht="15.75" x14ac:dyDescent="0.25">
      <c r="A7" s="9">
        <v>6</v>
      </c>
      <c r="B7" s="10"/>
      <c r="C7" s="11"/>
      <c r="D7" s="18" t="str">
        <f>GetCode(W7:AG7,info!$K$3:$U$3,B7,"-")</f>
        <v>NA</v>
      </c>
      <c r="E7" s="12"/>
      <c r="F7" s="12"/>
      <c r="G7" s="13"/>
      <c r="H7" s="14"/>
      <c r="I7" s="15"/>
      <c r="J7" s="16"/>
      <c r="K7" s="13"/>
      <c r="L7" s="13"/>
      <c r="M7" s="13"/>
      <c r="N7" s="13"/>
      <c r="O7" s="13"/>
      <c r="P7" s="17"/>
      <c r="Q7" s="17"/>
      <c r="R7" s="14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7"/>
      <c r="AJ7" s="17"/>
      <c r="AK7" s="18"/>
      <c r="AL7" s="18"/>
      <c r="AM7" s="38"/>
      <c r="AN7" s="18"/>
      <c r="AO7" s="18"/>
      <c r="AP7" s="18"/>
      <c r="AQ7" s="18"/>
      <c r="AR7" s="18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62">
        <f t="shared" si="0"/>
        <v>0</v>
      </c>
    </row>
    <row r="8" spans="1:56" ht="15.75" x14ac:dyDescent="0.25">
      <c r="A8" s="9">
        <v>7</v>
      </c>
      <c r="B8" s="10"/>
      <c r="C8" s="11"/>
      <c r="D8" s="18" t="str">
        <f>GetCode(W8:AG8,info!$K$3:$U$3,B8,"-")</f>
        <v>NA</v>
      </c>
      <c r="E8" s="12"/>
      <c r="F8" s="12"/>
      <c r="G8" s="13"/>
      <c r="H8" s="14" t="s">
        <v>133</v>
      </c>
      <c r="I8" s="15"/>
      <c r="J8" s="16"/>
      <c r="K8" s="13"/>
      <c r="L8" s="13"/>
      <c r="M8" s="13"/>
      <c r="N8" s="13"/>
      <c r="O8" s="13"/>
      <c r="P8" s="17"/>
      <c r="Q8" s="17"/>
      <c r="R8" s="14"/>
      <c r="S8" s="13"/>
      <c r="T8" s="13"/>
      <c r="U8" s="13"/>
      <c r="V8" s="13"/>
      <c r="W8" s="13"/>
      <c r="X8" s="13"/>
      <c r="Y8" s="13"/>
      <c r="Z8" s="13"/>
      <c r="AA8" s="13">
        <v>12</v>
      </c>
      <c r="AB8" s="13"/>
      <c r="AC8" s="13"/>
      <c r="AD8" s="13">
        <v>44</v>
      </c>
      <c r="AE8" s="13"/>
      <c r="AF8" s="13"/>
      <c r="AG8" s="13"/>
      <c r="AH8" s="13" t="s">
        <v>136</v>
      </c>
      <c r="AI8" s="17"/>
      <c r="AJ8" s="17"/>
      <c r="AK8" s="18" t="s">
        <v>134</v>
      </c>
      <c r="AL8" s="18"/>
      <c r="AM8" s="38"/>
      <c r="AN8" s="18"/>
      <c r="AO8" s="18"/>
      <c r="AP8" s="18"/>
      <c r="AQ8" s="18"/>
      <c r="AR8" s="18"/>
      <c r="AS8" s="13"/>
      <c r="AT8" s="13"/>
      <c r="AU8" s="13"/>
      <c r="AV8" s="13"/>
      <c r="AW8" s="13">
        <v>1</v>
      </c>
      <c r="AX8" s="13"/>
      <c r="AY8" s="13"/>
      <c r="AZ8" s="13">
        <v>1</v>
      </c>
      <c r="BA8" s="13"/>
      <c r="BB8" s="13"/>
      <c r="BC8" s="13"/>
      <c r="BD8" s="62">
        <f t="shared" si="0"/>
        <v>2</v>
      </c>
    </row>
    <row r="9" spans="1:56" ht="15.75" x14ac:dyDescent="0.25">
      <c r="A9" s="9">
        <v>8</v>
      </c>
      <c r="B9" s="10"/>
      <c r="C9" s="11"/>
      <c r="D9" s="18" t="str">
        <f>GetCode(W9:AG9,info!$K$3:$U$3,B9,"-")</f>
        <v>NA</v>
      </c>
      <c r="E9" s="12"/>
      <c r="F9" s="12"/>
      <c r="G9" s="13"/>
      <c r="H9" s="14"/>
      <c r="I9" s="15"/>
      <c r="J9" s="16"/>
      <c r="K9" s="13"/>
      <c r="L9" s="13"/>
      <c r="M9" s="13"/>
      <c r="N9" s="13"/>
      <c r="O9" s="13"/>
      <c r="P9" s="17"/>
      <c r="Q9" s="17"/>
      <c r="R9" s="14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7"/>
      <c r="AJ9" s="17"/>
      <c r="AK9" s="18"/>
      <c r="AL9" s="18" t="s">
        <v>135</v>
      </c>
      <c r="AM9" s="38"/>
      <c r="AN9" s="18"/>
      <c r="AO9" s="18"/>
      <c r="AP9" s="18"/>
      <c r="AQ9" s="18"/>
      <c r="AR9" s="18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62">
        <f t="shared" si="0"/>
        <v>0</v>
      </c>
    </row>
    <row r="10" spans="1:56" ht="15.75" x14ac:dyDescent="0.25">
      <c r="A10" s="9">
        <v>9</v>
      </c>
      <c r="B10" s="10"/>
      <c r="C10" s="11"/>
      <c r="D10" s="18" t="str">
        <f>GetCode(W10:AG10,info!$K$3:$U$3,B10,"-")</f>
        <v>NA</v>
      </c>
      <c r="E10" s="12"/>
      <c r="F10" s="12"/>
      <c r="G10" s="13"/>
      <c r="H10" s="14"/>
      <c r="I10" s="15"/>
      <c r="J10" s="16"/>
      <c r="K10" s="13"/>
      <c r="L10" s="13"/>
      <c r="M10" s="13"/>
      <c r="N10" s="13"/>
      <c r="O10" s="13"/>
      <c r="P10" s="17"/>
      <c r="Q10" s="17"/>
      <c r="R10" s="14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7"/>
      <c r="AJ10" s="17"/>
      <c r="AK10" s="18"/>
      <c r="AL10" s="18"/>
      <c r="AM10" s="38"/>
      <c r="AN10" s="18"/>
      <c r="AO10" s="18"/>
      <c r="AP10" s="18"/>
      <c r="AQ10" s="18"/>
      <c r="AR10" s="18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62">
        <f t="shared" si="0"/>
        <v>0</v>
      </c>
    </row>
    <row r="11" spans="1:56" ht="15.75" x14ac:dyDescent="0.25">
      <c r="A11" s="9">
        <v>10</v>
      </c>
      <c r="B11" s="10">
        <v>45421</v>
      </c>
      <c r="C11" s="11"/>
      <c r="D11" s="18" t="str">
        <f>GetCode(W11:AG11,info!$K$3:$U$3,B11,"-")</f>
        <v>-1.4-24-05</v>
      </c>
      <c r="E11" s="12"/>
      <c r="F11" s="12"/>
      <c r="G11" s="13"/>
      <c r="H11" s="14"/>
      <c r="I11" s="15"/>
      <c r="J11" s="16"/>
      <c r="K11" s="13"/>
      <c r="L11" s="13"/>
      <c r="M11" s="13"/>
      <c r="N11" s="13"/>
      <c r="O11" s="13"/>
      <c r="P11" s="17"/>
      <c r="Q11" s="17"/>
      <c r="R11" s="14"/>
      <c r="S11" s="13"/>
      <c r="T11" s="13"/>
      <c r="U11" s="13"/>
      <c r="V11" s="13"/>
      <c r="W11" s="13"/>
      <c r="X11" s="13"/>
      <c r="Y11" s="13"/>
      <c r="Z11" s="13">
        <v>1</v>
      </c>
      <c r="AA11" s="13"/>
      <c r="AB11" s="13"/>
      <c r="AC11" s="13"/>
      <c r="AD11" s="13"/>
      <c r="AE11" s="13"/>
      <c r="AF11" s="13"/>
      <c r="AG11" s="13"/>
      <c r="AH11" s="13"/>
      <c r="AI11" s="17"/>
      <c r="AJ11" s="17"/>
      <c r="AK11" s="18"/>
      <c r="AL11" s="18" t="s">
        <v>158</v>
      </c>
      <c r="AM11" s="38"/>
      <c r="AN11" s="18"/>
      <c r="AO11" s="18"/>
      <c r="AP11" s="18"/>
      <c r="AQ11" s="18"/>
      <c r="AR11" s="18"/>
      <c r="AS11" s="13">
        <v>1</v>
      </c>
      <c r="AT11" s="13">
        <v>1</v>
      </c>
      <c r="AU11" s="13"/>
      <c r="AV11" s="13">
        <v>1</v>
      </c>
      <c r="AW11" s="13"/>
      <c r="AX11" s="13"/>
      <c r="AY11" s="13"/>
      <c r="AZ11" s="13"/>
      <c r="BA11" s="13"/>
      <c r="BB11" s="13"/>
      <c r="BC11" s="13"/>
      <c r="BD11" s="62">
        <f t="shared" si="0"/>
        <v>3</v>
      </c>
    </row>
    <row r="12" spans="1:56" ht="15.75" x14ac:dyDescent="0.25">
      <c r="A12" s="9">
        <v>11</v>
      </c>
      <c r="B12" s="10"/>
      <c r="C12" s="11"/>
      <c r="D12" s="18" t="str">
        <f>GetCode(W12:AG12,info!$K$3:$U$3,B12,"-")</f>
        <v>NA</v>
      </c>
      <c r="E12" s="12"/>
      <c r="F12" s="12"/>
      <c r="G12" s="13"/>
      <c r="H12" s="14"/>
      <c r="I12" s="15"/>
      <c r="J12" s="16"/>
      <c r="K12" s="13"/>
      <c r="L12" s="13"/>
      <c r="M12" s="13"/>
      <c r="N12" s="13"/>
      <c r="O12" s="13"/>
      <c r="P12" s="17"/>
      <c r="Q12" s="17"/>
      <c r="R12" s="14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7"/>
      <c r="AJ12" s="17"/>
      <c r="AK12" s="18"/>
      <c r="AL12" s="18"/>
      <c r="AM12" s="38"/>
      <c r="AN12" s="18"/>
      <c r="AO12" s="18"/>
      <c r="AP12" s="18"/>
      <c r="AQ12" s="18"/>
      <c r="AR12" s="18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62">
        <f t="shared" si="0"/>
        <v>0</v>
      </c>
    </row>
    <row r="13" spans="1:56" ht="15.75" x14ac:dyDescent="0.25">
      <c r="A13" s="9">
        <v>12</v>
      </c>
      <c r="B13" s="10"/>
      <c r="C13" s="11"/>
      <c r="D13" s="18" t="str">
        <f>GetCode(W13:AG13,info!$K$3:$U$3,B13,"-")</f>
        <v>NA</v>
      </c>
      <c r="E13" s="12"/>
      <c r="F13" s="12"/>
      <c r="G13" s="13"/>
      <c r="H13" s="14"/>
      <c r="I13" s="15"/>
      <c r="J13" s="16"/>
      <c r="K13" s="13"/>
      <c r="L13" s="13"/>
      <c r="M13" s="13"/>
      <c r="N13" s="13"/>
      <c r="O13" s="13"/>
      <c r="P13" s="17"/>
      <c r="Q13" s="17"/>
      <c r="R13" s="14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7"/>
      <c r="AJ13" s="17"/>
      <c r="AK13" s="18"/>
      <c r="AL13" s="18"/>
      <c r="AM13" s="38"/>
      <c r="AN13" s="18"/>
      <c r="AO13" s="18"/>
      <c r="AP13" s="18"/>
      <c r="AQ13" s="18"/>
      <c r="AR13" s="18"/>
      <c r="AS13" s="13"/>
      <c r="AT13" s="13"/>
      <c r="AU13" s="13"/>
      <c r="AV13" s="13"/>
      <c r="AW13" s="13"/>
      <c r="AX13" s="13"/>
      <c r="AY13" s="13">
        <v>1</v>
      </c>
      <c r="AZ13" s="13"/>
      <c r="BA13" s="13"/>
      <c r="BB13" s="13"/>
      <c r="BC13" s="13"/>
      <c r="BD13" s="62">
        <f t="shared" si="0"/>
        <v>1</v>
      </c>
    </row>
    <row r="14" spans="1:56" ht="15.75" x14ac:dyDescent="0.25">
      <c r="A14" s="9">
        <v>13</v>
      </c>
      <c r="B14" s="10"/>
      <c r="C14" s="11"/>
      <c r="D14" s="18" t="str">
        <f>GetCode(W14:AG14,info!$K$3:$U$3,B14,"-")</f>
        <v>NA</v>
      </c>
      <c r="E14" s="12"/>
      <c r="F14" s="12"/>
      <c r="G14" s="13"/>
      <c r="H14" s="14"/>
      <c r="I14" s="15"/>
      <c r="J14" s="16"/>
      <c r="K14" s="13"/>
      <c r="L14" s="13"/>
      <c r="M14" s="13"/>
      <c r="N14" s="13"/>
      <c r="O14" s="13"/>
      <c r="P14" s="17"/>
      <c r="Q14" s="17"/>
      <c r="R14" s="14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7"/>
      <c r="AJ14" s="17"/>
      <c r="AK14" s="18"/>
      <c r="AL14" s="18"/>
      <c r="AM14" s="38"/>
      <c r="AN14" s="18"/>
      <c r="AO14" s="18"/>
      <c r="AP14" s="18"/>
      <c r="AQ14" s="18"/>
      <c r="AR14" s="18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62">
        <f t="shared" si="0"/>
        <v>0</v>
      </c>
    </row>
    <row r="15" spans="1:56" ht="15.75" x14ac:dyDescent="0.25">
      <c r="A15" s="9">
        <v>14</v>
      </c>
      <c r="B15" s="10"/>
      <c r="C15" s="11"/>
      <c r="D15" s="18" t="str">
        <f>GetCode(W15:AG15,info!$K$3:$U$3,B15,"-")</f>
        <v>NA</v>
      </c>
      <c r="E15" s="12"/>
      <c r="F15" s="12"/>
      <c r="G15" s="13"/>
      <c r="H15" s="14"/>
      <c r="I15" s="15"/>
      <c r="J15" s="16"/>
      <c r="K15" s="13"/>
      <c r="L15" s="13"/>
      <c r="M15" s="13"/>
      <c r="N15" s="13"/>
      <c r="O15" s="13"/>
      <c r="P15" s="17"/>
      <c r="Q15" s="17"/>
      <c r="R15" s="14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7"/>
      <c r="AJ15" s="17"/>
      <c r="AK15" s="18"/>
      <c r="AL15" s="18"/>
      <c r="AM15" s="38"/>
      <c r="AN15" s="18"/>
      <c r="AO15" s="18"/>
      <c r="AP15" s="18"/>
      <c r="AQ15" s="18"/>
      <c r="AR15" s="18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62">
        <f t="shared" si="0"/>
        <v>0</v>
      </c>
    </row>
    <row r="16" spans="1:56" ht="15.75" x14ac:dyDescent="0.25">
      <c r="A16" s="9">
        <v>15</v>
      </c>
      <c r="B16" s="10"/>
      <c r="C16" s="11"/>
      <c r="D16" s="18" t="str">
        <f>GetCode(W16:AG16,info!$K$3:$U$3,B16,"-")</f>
        <v>NA</v>
      </c>
      <c r="E16" s="12"/>
      <c r="F16" s="12"/>
      <c r="G16" s="13"/>
      <c r="H16" s="14"/>
      <c r="I16" s="15"/>
      <c r="J16" s="16"/>
      <c r="K16" s="13"/>
      <c r="L16" s="13"/>
      <c r="M16" s="13"/>
      <c r="N16" s="13"/>
      <c r="O16" s="13"/>
      <c r="P16" s="17"/>
      <c r="Q16" s="17"/>
      <c r="R16" s="14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>
        <v>1</v>
      </c>
      <c r="AG16" s="13">
        <v>33</v>
      </c>
      <c r="AH16" s="13"/>
      <c r="AI16" s="17"/>
      <c r="AJ16" s="17" t="s">
        <v>137</v>
      </c>
      <c r="AK16" s="18" t="s">
        <v>138</v>
      </c>
      <c r="AL16" s="18"/>
      <c r="AM16" s="38"/>
      <c r="AN16" s="18"/>
      <c r="AO16" s="18"/>
      <c r="AP16" s="18"/>
      <c r="AQ16" s="18"/>
      <c r="AR16" s="18"/>
      <c r="AS16" s="13"/>
      <c r="AT16" s="13"/>
      <c r="AU16" s="13"/>
      <c r="AV16" s="13"/>
      <c r="AW16" s="13"/>
      <c r="AX16" s="13"/>
      <c r="AY16" s="13"/>
      <c r="AZ16" s="13"/>
      <c r="BA16" s="13">
        <v>1</v>
      </c>
      <c r="BB16" s="13">
        <v>1</v>
      </c>
      <c r="BC16" s="13">
        <v>1</v>
      </c>
      <c r="BD16" s="62">
        <f t="shared" si="0"/>
        <v>3</v>
      </c>
    </row>
    <row r="17" spans="1:56" ht="15.75" x14ac:dyDescent="0.25">
      <c r="A17" s="9">
        <v>16</v>
      </c>
      <c r="B17" s="10"/>
      <c r="C17" s="11"/>
      <c r="D17" s="18" t="str">
        <f>GetCode(W17:AG17,info!$K$3:$U$3,B17,"-")</f>
        <v>NA</v>
      </c>
      <c r="E17" s="12"/>
      <c r="F17" s="12"/>
      <c r="G17" s="13"/>
      <c r="H17" s="14"/>
      <c r="I17" s="15"/>
      <c r="J17" s="16"/>
      <c r="K17" s="13"/>
      <c r="L17" s="13"/>
      <c r="M17" s="13"/>
      <c r="N17" s="13"/>
      <c r="O17" s="13"/>
      <c r="P17" s="17"/>
      <c r="Q17" s="17"/>
      <c r="R17" s="14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7"/>
      <c r="AJ17" s="17"/>
      <c r="AK17" s="18"/>
      <c r="AL17" s="18"/>
      <c r="AM17" s="38"/>
      <c r="AN17" s="18"/>
      <c r="AO17" s="18"/>
      <c r="AP17" s="18"/>
      <c r="AQ17" s="18"/>
      <c r="AR17" s="18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62">
        <f t="shared" si="0"/>
        <v>0</v>
      </c>
    </row>
    <row r="18" spans="1:56" ht="15.75" x14ac:dyDescent="0.25">
      <c r="A18" s="9">
        <v>17</v>
      </c>
      <c r="B18" s="10"/>
      <c r="C18" s="11"/>
      <c r="D18" s="18" t="str">
        <f>GetCode(W18:AG18,info!$K$3:$U$3,B18,"-")</f>
        <v>NA</v>
      </c>
      <c r="E18" s="12"/>
      <c r="F18" s="12"/>
      <c r="G18" s="13"/>
      <c r="H18" s="14"/>
      <c r="I18" s="15"/>
      <c r="J18" s="16"/>
      <c r="K18" s="13"/>
      <c r="L18" s="13"/>
      <c r="M18" s="13"/>
      <c r="N18" s="13"/>
      <c r="O18" s="13"/>
      <c r="P18" s="17"/>
      <c r="Q18" s="17"/>
      <c r="R18" s="14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7"/>
      <c r="AJ18" s="17"/>
      <c r="AK18" s="18"/>
      <c r="AL18" s="18"/>
      <c r="AM18" s="38"/>
      <c r="AN18" s="18"/>
      <c r="AO18" s="18"/>
      <c r="AP18" s="18"/>
      <c r="AQ18" s="18"/>
      <c r="AR18" s="18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62">
        <f t="shared" si="0"/>
        <v>0</v>
      </c>
    </row>
    <row r="19" spans="1:56" ht="15.75" x14ac:dyDescent="0.25">
      <c r="A19" s="9">
        <v>18</v>
      </c>
      <c r="B19" s="10">
        <v>45296</v>
      </c>
      <c r="C19" s="11"/>
      <c r="D19" s="18" t="str">
        <f>GetCode(W19:AG19,info!$K$3:$U$3,B19,"-")</f>
        <v>-24-01</v>
      </c>
      <c r="E19" s="12"/>
      <c r="F19" s="12"/>
      <c r="G19" s="13"/>
      <c r="H19" s="14"/>
      <c r="I19" s="15"/>
      <c r="J19" s="16"/>
      <c r="K19" s="13"/>
      <c r="L19" s="13"/>
      <c r="M19" s="13"/>
      <c r="N19" s="13"/>
      <c r="O19" s="13"/>
      <c r="P19" s="17"/>
      <c r="Q19" s="17"/>
      <c r="R19" s="14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7"/>
      <c r="AJ19" s="17"/>
      <c r="AK19" s="18"/>
      <c r="AL19" s="18"/>
      <c r="AM19" s="38"/>
      <c r="AN19" s="18"/>
      <c r="AO19" s="18"/>
      <c r="AP19" s="18"/>
      <c r="AQ19" s="18"/>
      <c r="AR19" s="18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62">
        <f t="shared" si="0"/>
        <v>0</v>
      </c>
    </row>
    <row r="20" spans="1:56" ht="15.75" x14ac:dyDescent="0.25">
      <c r="A20" s="9">
        <v>19</v>
      </c>
      <c r="B20" s="10"/>
      <c r="C20" s="11"/>
      <c r="D20" s="18" t="str">
        <f>GetCode(W20:AG20,info!$K$3:$U$3,B20,"-")</f>
        <v>NA</v>
      </c>
      <c r="E20" s="12"/>
      <c r="F20" s="12"/>
      <c r="G20" s="13"/>
      <c r="H20" s="14"/>
      <c r="I20" s="15"/>
      <c r="J20" s="16"/>
      <c r="K20" s="13"/>
      <c r="L20" s="13"/>
      <c r="M20" s="13"/>
      <c r="N20" s="13"/>
      <c r="O20" s="13"/>
      <c r="P20" s="17"/>
      <c r="Q20" s="17"/>
      <c r="R20" s="14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7"/>
      <c r="AJ20" s="17"/>
      <c r="AK20" s="18"/>
      <c r="AL20" s="18"/>
      <c r="AM20" s="38"/>
      <c r="AN20" s="18"/>
      <c r="AO20" s="18"/>
      <c r="AP20" s="18"/>
      <c r="AQ20" s="18"/>
      <c r="AR20" s="18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62">
        <f t="shared" si="0"/>
        <v>0</v>
      </c>
    </row>
    <row r="21" spans="1:56" ht="15.75" x14ac:dyDescent="0.25">
      <c r="A21" s="9">
        <v>20</v>
      </c>
      <c r="B21" s="10"/>
      <c r="C21" s="11"/>
      <c r="D21" s="18" t="str">
        <f>GetCode(W21:AG21,info!$K$3:$U$3,B21,"-")</f>
        <v>NA</v>
      </c>
      <c r="E21" s="12"/>
      <c r="F21" s="12"/>
      <c r="G21" s="13"/>
      <c r="H21" s="14"/>
      <c r="I21" s="15"/>
      <c r="J21" s="16"/>
      <c r="K21" s="13" t="s">
        <v>130</v>
      </c>
      <c r="L21" s="13"/>
      <c r="M21" s="13"/>
      <c r="N21" s="13"/>
      <c r="O21" s="13"/>
      <c r="P21" s="17"/>
      <c r="Q21" s="17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7"/>
      <c r="AJ21" s="17"/>
      <c r="AK21" s="18"/>
      <c r="AL21" s="18"/>
      <c r="AM21" s="38"/>
      <c r="AN21" s="18"/>
      <c r="AO21" s="18"/>
      <c r="AP21" s="18"/>
      <c r="AQ21" s="18"/>
      <c r="AR21" s="18"/>
      <c r="AS21" s="13">
        <v>1</v>
      </c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62">
        <f t="shared" si="0"/>
        <v>1</v>
      </c>
    </row>
    <row r="22" spans="1:56" ht="15.75" x14ac:dyDescent="0.25">
      <c r="A22" s="9">
        <v>21</v>
      </c>
      <c r="B22" s="10"/>
      <c r="C22" s="11"/>
      <c r="D22" s="18" t="str">
        <f>GetCode(W22:AG22,info!$K$3:$U$3,B22,"-")</f>
        <v>NA</v>
      </c>
      <c r="E22" s="12"/>
      <c r="F22" s="12"/>
      <c r="G22" s="13"/>
      <c r="H22" s="14"/>
      <c r="I22" s="15"/>
      <c r="J22" s="16"/>
      <c r="K22" s="13"/>
      <c r="L22" s="13"/>
      <c r="M22" s="13"/>
      <c r="N22" s="13"/>
      <c r="O22" s="13"/>
      <c r="P22" s="17"/>
      <c r="Q22" s="17"/>
      <c r="R22" s="14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7"/>
      <c r="AJ22" s="17"/>
      <c r="AK22" s="18"/>
      <c r="AL22" s="18"/>
      <c r="AM22" s="38"/>
      <c r="AN22" s="18"/>
      <c r="AO22" s="18"/>
      <c r="AP22" s="18"/>
      <c r="AQ22" s="18"/>
      <c r="AR22" s="18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62">
        <f t="shared" si="0"/>
        <v>0</v>
      </c>
    </row>
    <row r="23" spans="1:56" ht="15.75" x14ac:dyDescent="0.25">
      <c r="A23" s="9">
        <v>22</v>
      </c>
      <c r="B23" s="10"/>
      <c r="C23" s="11"/>
      <c r="D23" s="18" t="str">
        <f>GetCode(W23:AG23,info!$K$3:$U$3,B23,"-")</f>
        <v>NA</v>
      </c>
      <c r="E23" s="12"/>
      <c r="F23" s="12"/>
      <c r="G23" s="13"/>
      <c r="H23" s="14"/>
      <c r="I23" s="15"/>
      <c r="J23" s="16"/>
      <c r="K23" s="13"/>
      <c r="L23" s="13"/>
      <c r="M23" s="13"/>
      <c r="N23" s="13"/>
      <c r="O23" s="13"/>
      <c r="P23" s="17"/>
      <c r="Q23" s="17"/>
      <c r="R23" s="14"/>
      <c r="S23" s="13"/>
      <c r="T23" s="13"/>
      <c r="U23" s="13"/>
      <c r="V23" s="13"/>
      <c r="W23" s="13"/>
      <c r="X23" s="13"/>
      <c r="Y23" s="13">
        <v>1</v>
      </c>
      <c r="Z23" s="13"/>
      <c r="AA23" s="13"/>
      <c r="AB23" s="13"/>
      <c r="AC23" s="13"/>
      <c r="AD23" s="13"/>
      <c r="AE23" s="13"/>
      <c r="AF23" s="13"/>
      <c r="AG23" s="13"/>
      <c r="AH23" s="13"/>
      <c r="AI23" s="17"/>
      <c r="AJ23" s="17"/>
      <c r="AK23" s="18"/>
      <c r="AL23" s="18"/>
      <c r="AM23" s="38"/>
      <c r="AN23" s="18"/>
      <c r="AO23" s="18"/>
      <c r="AP23" s="18"/>
      <c r="AQ23" s="18"/>
      <c r="AR23" s="18"/>
      <c r="AS23" s="13"/>
      <c r="AT23" s="13"/>
      <c r="AU23" s="13">
        <v>1</v>
      </c>
      <c r="AV23" s="13"/>
      <c r="AW23" s="13"/>
      <c r="AX23" s="13"/>
      <c r="AY23" s="13"/>
      <c r="AZ23" s="13"/>
      <c r="BA23" s="13"/>
      <c r="BB23" s="13"/>
      <c r="BC23" s="13"/>
      <c r="BD23" s="62">
        <f t="shared" si="0"/>
        <v>1</v>
      </c>
    </row>
    <row r="24" spans="1:56" ht="15.75" x14ac:dyDescent="0.25">
      <c r="A24" s="9">
        <v>23</v>
      </c>
      <c r="B24" s="10"/>
      <c r="C24" s="11"/>
      <c r="D24" s="18" t="str">
        <f>GetCode(W24:AG24,info!$K$3:$U$3,B24,"-")</f>
        <v>NA</v>
      </c>
      <c r="E24" s="12"/>
      <c r="F24" s="12"/>
      <c r="G24" s="13"/>
      <c r="H24" s="14"/>
      <c r="I24" s="15"/>
      <c r="J24" s="16"/>
      <c r="K24" s="13"/>
      <c r="L24" s="13"/>
      <c r="M24" s="13"/>
      <c r="N24" s="13"/>
      <c r="O24" s="13"/>
      <c r="P24" s="17"/>
      <c r="Q24" s="17"/>
      <c r="R24" s="14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7"/>
      <c r="AJ24" s="17"/>
      <c r="AK24" s="18"/>
      <c r="AL24" s="18"/>
      <c r="AM24" s="38"/>
      <c r="AN24" s="18"/>
      <c r="AO24" s="18"/>
      <c r="AP24" s="18"/>
      <c r="AQ24" s="18"/>
      <c r="AR24" s="18"/>
      <c r="AS24" s="13"/>
      <c r="AT24" s="13"/>
      <c r="AU24" s="13"/>
      <c r="AV24" s="13"/>
      <c r="AW24" s="13"/>
      <c r="AX24" s="13"/>
      <c r="AY24" s="13">
        <v>1</v>
      </c>
      <c r="AZ24" s="13"/>
      <c r="BA24" s="13"/>
      <c r="BB24" s="13"/>
      <c r="BC24" s="13"/>
      <c r="BD24" s="62">
        <f t="shared" si="0"/>
        <v>1</v>
      </c>
    </row>
    <row r="25" spans="1:56" ht="15.75" x14ac:dyDescent="0.25">
      <c r="A25" s="9">
        <v>24</v>
      </c>
      <c r="B25" s="10"/>
      <c r="C25" s="11"/>
      <c r="D25" s="18" t="str">
        <f>GetCode(W25:AG25,info!$K$3:$U$3,B25,"-")</f>
        <v>NA</v>
      </c>
      <c r="E25" s="12"/>
      <c r="F25" s="12"/>
      <c r="G25" s="13"/>
      <c r="H25" s="14"/>
      <c r="I25" s="15"/>
      <c r="J25" s="16"/>
      <c r="K25" s="13"/>
      <c r="L25" s="13"/>
      <c r="M25" s="13"/>
      <c r="N25" s="13"/>
      <c r="O25" s="13"/>
      <c r="P25" s="17"/>
      <c r="Q25" s="17"/>
      <c r="R25" s="14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7"/>
      <c r="AJ25" s="17"/>
      <c r="AK25" s="18"/>
      <c r="AL25" s="18"/>
      <c r="AM25" s="38"/>
      <c r="AN25" s="18"/>
      <c r="AO25" s="18"/>
      <c r="AP25" s="18"/>
      <c r="AQ25" s="18"/>
      <c r="AR25" s="18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62">
        <f t="shared" si="0"/>
        <v>0</v>
      </c>
    </row>
    <row r="26" spans="1:56" ht="15.75" x14ac:dyDescent="0.25">
      <c r="A26" s="9">
        <v>25</v>
      </c>
      <c r="B26" s="10"/>
      <c r="C26" s="11"/>
      <c r="D26" s="18" t="str">
        <f>GetCode(W26:AG26,info!$K$3:$U$3,B26,"-")</f>
        <v>NA</v>
      </c>
      <c r="E26" s="12"/>
      <c r="F26" s="12"/>
      <c r="G26" s="13"/>
      <c r="H26" s="14"/>
      <c r="I26" s="15"/>
      <c r="J26" s="16"/>
      <c r="K26" s="13"/>
      <c r="L26" s="13"/>
      <c r="M26" s="13"/>
      <c r="N26" s="13"/>
      <c r="O26" s="13"/>
      <c r="P26" s="17"/>
      <c r="Q26" s="17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7"/>
      <c r="AJ26" s="17"/>
      <c r="AK26" s="18"/>
      <c r="AL26" s="18"/>
      <c r="AM26" s="38"/>
      <c r="AN26" s="18"/>
      <c r="AO26" s="18"/>
      <c r="AP26" s="18"/>
      <c r="AQ26" s="18"/>
      <c r="AR26" s="18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62">
        <f t="shared" si="0"/>
        <v>0</v>
      </c>
    </row>
    <row r="27" spans="1:56" ht="15.75" x14ac:dyDescent="0.25">
      <c r="A27" s="9">
        <v>26</v>
      </c>
      <c r="B27" s="10"/>
      <c r="C27" s="11"/>
      <c r="D27" s="18" t="str">
        <f>GetCode(W27:AG27,info!$K$3:$U$3,B27,"-")</f>
        <v>NA</v>
      </c>
      <c r="E27" s="12"/>
      <c r="F27" s="12"/>
      <c r="G27" s="13"/>
      <c r="H27" s="14"/>
      <c r="I27" s="15"/>
      <c r="J27" s="16"/>
      <c r="K27" s="13"/>
      <c r="L27" s="13"/>
      <c r="M27" s="13"/>
      <c r="N27" s="13"/>
      <c r="O27" s="13"/>
      <c r="P27" s="17"/>
      <c r="Q27" s="17"/>
      <c r="R27" s="14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7"/>
      <c r="AJ27" s="17"/>
      <c r="AK27" s="18"/>
      <c r="AL27" s="18"/>
      <c r="AM27" s="38"/>
      <c r="AN27" s="18"/>
      <c r="AO27" s="18"/>
      <c r="AP27" s="18"/>
      <c r="AQ27" s="18"/>
      <c r="AR27" s="18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62">
        <f t="shared" si="0"/>
        <v>0</v>
      </c>
    </row>
    <row r="28" spans="1:56" ht="15.75" x14ac:dyDescent="0.25">
      <c r="A28" s="9">
        <v>27</v>
      </c>
      <c r="B28" s="10"/>
      <c r="C28" s="11"/>
      <c r="D28" s="18" t="str">
        <f>GetCode(W28:AG28,info!$K$3:$U$3,B28,"-")</f>
        <v>NA</v>
      </c>
      <c r="E28" s="12"/>
      <c r="F28" s="12"/>
      <c r="G28" s="13"/>
      <c r="H28" s="14"/>
      <c r="I28" s="15"/>
      <c r="J28" s="16"/>
      <c r="K28" s="13"/>
      <c r="L28" s="13"/>
      <c r="M28" s="13"/>
      <c r="N28" s="13"/>
      <c r="O28" s="13"/>
      <c r="P28" s="17"/>
      <c r="Q28" s="17"/>
      <c r="R28" s="14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7"/>
      <c r="AJ28" s="17"/>
      <c r="AK28" s="18"/>
      <c r="AL28" s="18"/>
      <c r="AM28" s="38"/>
      <c r="AN28" s="18"/>
      <c r="AO28" s="18"/>
      <c r="AP28" s="18"/>
      <c r="AQ28" s="18"/>
      <c r="AR28" s="18"/>
      <c r="AS28" s="13"/>
      <c r="AT28" s="13"/>
      <c r="AU28" s="13">
        <v>1</v>
      </c>
      <c r="AV28" s="13"/>
      <c r="AW28" s="13"/>
      <c r="AX28" s="13"/>
      <c r="AY28" s="13"/>
      <c r="AZ28" s="13"/>
      <c r="BA28" s="13"/>
      <c r="BB28" s="13"/>
      <c r="BC28" s="13"/>
      <c r="BD28" s="62">
        <f t="shared" si="0"/>
        <v>1</v>
      </c>
    </row>
    <row r="29" spans="1:56" ht="15.75" x14ac:dyDescent="0.25">
      <c r="A29" s="9">
        <v>28</v>
      </c>
      <c r="B29" s="10"/>
      <c r="C29" s="11"/>
      <c r="D29" s="18" t="str">
        <f>GetCode(W29:AG29,info!$K$3:$U$3,B29,"-")</f>
        <v>NA</v>
      </c>
      <c r="E29" s="12"/>
      <c r="F29" s="12"/>
      <c r="G29" s="13"/>
      <c r="H29" s="14"/>
      <c r="I29" s="15"/>
      <c r="J29" s="16"/>
      <c r="K29" s="13"/>
      <c r="L29" s="13"/>
      <c r="M29" s="13"/>
      <c r="N29" s="13"/>
      <c r="O29" s="13"/>
      <c r="P29" s="17"/>
      <c r="Q29" s="17"/>
      <c r="R29" s="14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7"/>
      <c r="AJ29" s="17"/>
      <c r="AK29" s="18"/>
      <c r="AL29" s="18"/>
      <c r="AM29" s="38"/>
      <c r="AN29" s="18"/>
      <c r="AO29" s="18"/>
      <c r="AP29" s="18"/>
      <c r="AQ29" s="18"/>
      <c r="AR29" s="18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62">
        <f t="shared" si="0"/>
        <v>0</v>
      </c>
    </row>
    <row r="30" spans="1:56" ht="15.75" x14ac:dyDescent="0.25">
      <c r="A30" s="9">
        <v>29</v>
      </c>
      <c r="B30" s="10">
        <v>45490</v>
      </c>
      <c r="C30" s="11"/>
      <c r="D30" s="18" t="str">
        <f>GetCode(W30:AG30,info!$K$3:$U$3,B30,"-")</f>
        <v>-1.5-24-07</v>
      </c>
      <c r="E30" s="12"/>
      <c r="F30" s="12"/>
      <c r="G30" s="13"/>
      <c r="H30" s="14"/>
      <c r="I30" s="15"/>
      <c r="J30" s="16"/>
      <c r="K30" s="13"/>
      <c r="L30" s="13"/>
      <c r="M30" s="13"/>
      <c r="N30" s="13"/>
      <c r="O30" s="13"/>
      <c r="P30" s="17"/>
      <c r="Q30" s="17"/>
      <c r="R30" s="14"/>
      <c r="S30" s="13"/>
      <c r="T30" s="13"/>
      <c r="U30" s="13"/>
      <c r="V30" s="13"/>
      <c r="W30" s="13"/>
      <c r="X30" s="13"/>
      <c r="Y30" s="13"/>
      <c r="Z30" s="13"/>
      <c r="AA30" s="13">
        <v>33</v>
      </c>
      <c r="AB30" s="13"/>
      <c r="AC30" s="13"/>
      <c r="AD30" s="13"/>
      <c r="AE30" s="13"/>
      <c r="AF30" s="13"/>
      <c r="AG30" s="13"/>
      <c r="AH30" s="13"/>
      <c r="AI30" s="17"/>
      <c r="AJ30" s="17"/>
      <c r="AK30" s="18"/>
      <c r="AL30" s="18"/>
      <c r="AM30" s="38"/>
      <c r="AN30" s="18"/>
      <c r="AO30" s="18"/>
      <c r="AP30" s="18"/>
      <c r="AQ30" s="18"/>
      <c r="AR30" s="18"/>
      <c r="AS30" s="13"/>
      <c r="AT30" s="13"/>
      <c r="AU30" s="13"/>
      <c r="AV30" s="13"/>
      <c r="AW30" s="13">
        <v>1</v>
      </c>
      <c r="AX30" s="13"/>
      <c r="AY30" s="13"/>
      <c r="AZ30" s="13"/>
      <c r="BA30" s="13"/>
      <c r="BB30" s="13"/>
      <c r="BC30" s="13"/>
      <c r="BD30" s="62">
        <f t="shared" si="0"/>
        <v>1</v>
      </c>
    </row>
    <row r="31" spans="1:56" ht="15.75" x14ac:dyDescent="0.25">
      <c r="A31" s="9">
        <v>30</v>
      </c>
      <c r="B31" s="10"/>
      <c r="C31" s="11"/>
      <c r="D31" s="18" t="str">
        <f>GetCode(W31:AG31,info!$K$3:$U$3,B31,"-")</f>
        <v>NA</v>
      </c>
      <c r="E31" s="12"/>
      <c r="F31" s="12"/>
      <c r="G31" s="13"/>
      <c r="H31" s="14"/>
      <c r="I31" s="15"/>
      <c r="J31" s="16"/>
      <c r="K31" s="13"/>
      <c r="L31" s="13"/>
      <c r="M31" s="13"/>
      <c r="N31" s="13"/>
      <c r="O31" s="13"/>
      <c r="P31" s="17"/>
      <c r="Q31" s="17"/>
      <c r="R31" s="14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7"/>
      <c r="AJ31" s="17"/>
      <c r="AK31" s="18"/>
      <c r="AL31" s="18"/>
      <c r="AM31" s="38"/>
      <c r="AN31" s="18"/>
      <c r="AO31" s="18"/>
      <c r="AP31" s="18"/>
      <c r="AQ31" s="18"/>
      <c r="AR31" s="18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62">
        <f t="shared" si="0"/>
        <v>0</v>
      </c>
    </row>
    <row r="32" spans="1:56" ht="15.75" x14ac:dyDescent="0.25">
      <c r="A32" s="9">
        <v>31</v>
      </c>
      <c r="B32" s="10"/>
      <c r="C32" s="11"/>
      <c r="D32" s="18" t="str">
        <f>GetCode(W32:AG32,info!$K$3:$U$3,B32,"-")</f>
        <v>NA</v>
      </c>
      <c r="E32" s="12" t="s">
        <v>119</v>
      </c>
      <c r="F32" s="12"/>
      <c r="G32" s="13"/>
      <c r="H32" s="14" t="s">
        <v>119</v>
      </c>
      <c r="I32" s="15"/>
      <c r="J32" s="16"/>
      <c r="K32" s="13" t="s">
        <v>119</v>
      </c>
      <c r="L32" s="13"/>
      <c r="M32" s="13" t="s">
        <v>119</v>
      </c>
      <c r="N32" s="13"/>
      <c r="O32" s="13"/>
      <c r="P32" s="17"/>
      <c r="Q32" s="17"/>
      <c r="R32" s="14"/>
      <c r="S32" s="13"/>
      <c r="T32" s="13" t="s">
        <v>119</v>
      </c>
      <c r="U32" s="13"/>
      <c r="V32" s="13"/>
      <c r="W32" s="13"/>
      <c r="X32" s="13" t="s">
        <v>119</v>
      </c>
      <c r="Y32" s="13"/>
      <c r="Z32" s="13"/>
      <c r="AA32" s="13"/>
      <c r="AB32" s="13"/>
      <c r="AC32" s="13"/>
      <c r="AD32" s="13"/>
      <c r="AE32" s="13"/>
      <c r="AF32" s="13"/>
      <c r="AG32" s="13">
        <v>11</v>
      </c>
      <c r="AH32" s="13"/>
      <c r="AI32" s="17" t="s">
        <v>119</v>
      </c>
      <c r="AJ32" s="17"/>
      <c r="AK32" s="18"/>
      <c r="AL32" s="18"/>
      <c r="AM32" s="38"/>
      <c r="AN32" s="18"/>
      <c r="AO32" s="18"/>
      <c r="AP32" s="18"/>
      <c r="AQ32" s="18"/>
      <c r="AR32" s="18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>
        <v>1</v>
      </c>
      <c r="BD32" s="62">
        <f t="shared" si="0"/>
        <v>1</v>
      </c>
    </row>
    <row r="33" spans="1:56" ht="15.75" x14ac:dyDescent="0.25">
      <c r="A33" s="9">
        <v>32</v>
      </c>
      <c r="B33" s="10"/>
      <c r="C33" s="11"/>
      <c r="D33" s="18" t="str">
        <f>GetCode(W33:AG33,info!$K$3:$U$3,B33,"-")</f>
        <v>NA</v>
      </c>
      <c r="E33" s="12"/>
      <c r="F33" s="12"/>
      <c r="G33" s="13"/>
      <c r="H33" s="14"/>
      <c r="I33" s="15"/>
      <c r="J33" s="16"/>
      <c r="K33" s="13"/>
      <c r="L33" s="13"/>
      <c r="M33" s="13"/>
      <c r="N33" s="13"/>
      <c r="O33" s="13"/>
      <c r="P33" s="17"/>
      <c r="Q33" s="17"/>
      <c r="R33" s="14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7"/>
      <c r="AJ33" s="17"/>
      <c r="AK33" s="18"/>
      <c r="AL33" s="18"/>
      <c r="AM33" s="38"/>
      <c r="AN33" s="18"/>
      <c r="AO33" s="18"/>
      <c r="AP33" s="18"/>
      <c r="AQ33" s="18"/>
      <c r="AR33" s="18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62">
        <f t="shared" si="0"/>
        <v>0</v>
      </c>
    </row>
    <row r="34" spans="1:56" ht="15.75" x14ac:dyDescent="0.25">
      <c r="A34" s="9">
        <v>33</v>
      </c>
      <c r="B34" s="10"/>
      <c r="C34" s="11"/>
      <c r="D34" s="18" t="str">
        <f>GetCode(W34:AG34,info!$K$3:$U$3,B34,"-")</f>
        <v>NA</v>
      </c>
      <c r="E34" s="12"/>
      <c r="F34" s="12"/>
      <c r="G34" s="13"/>
      <c r="H34" s="14"/>
      <c r="I34" s="15"/>
      <c r="J34" s="16"/>
      <c r="K34" s="13"/>
      <c r="L34" s="13"/>
      <c r="M34" s="13"/>
      <c r="N34" s="13"/>
      <c r="O34" s="13"/>
      <c r="P34" s="17"/>
      <c r="Q34" s="17"/>
      <c r="R34" s="14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7"/>
      <c r="AJ34" s="17"/>
      <c r="AK34" s="18"/>
      <c r="AL34" s="18"/>
      <c r="AM34" s="38"/>
      <c r="AN34" s="18"/>
      <c r="AO34" s="18"/>
      <c r="AP34" s="18"/>
      <c r="AQ34" s="18"/>
      <c r="AR34" s="18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62">
        <f t="shared" si="0"/>
        <v>0</v>
      </c>
    </row>
    <row r="35" spans="1:56" ht="15.75" x14ac:dyDescent="0.25">
      <c r="A35" s="9">
        <v>34</v>
      </c>
      <c r="B35" s="10"/>
      <c r="C35" s="11"/>
      <c r="D35" s="18" t="str">
        <f>GetCode(W35:AG35,info!$K$3:$U$3,B35,"-")</f>
        <v>NA</v>
      </c>
      <c r="E35" s="12"/>
      <c r="F35" s="12"/>
      <c r="G35" s="13"/>
      <c r="H35" s="14"/>
      <c r="I35" s="15"/>
      <c r="J35" s="16"/>
      <c r="K35" s="13"/>
      <c r="L35" s="13"/>
      <c r="M35" s="13"/>
      <c r="N35" s="13"/>
      <c r="O35" s="13"/>
      <c r="P35" s="17"/>
      <c r="Q35" s="17"/>
      <c r="R35" s="14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7"/>
      <c r="AJ35" s="17"/>
      <c r="AK35" s="18"/>
      <c r="AL35" s="18"/>
      <c r="AM35" s="38"/>
      <c r="AN35" s="18"/>
      <c r="AO35" s="18"/>
      <c r="AP35" s="18"/>
      <c r="AQ35" s="18"/>
      <c r="AR35" s="18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62">
        <f t="shared" si="0"/>
        <v>0</v>
      </c>
    </row>
    <row r="36" spans="1:56" ht="15.75" x14ac:dyDescent="0.25">
      <c r="A36" s="9">
        <v>35</v>
      </c>
      <c r="B36" s="10"/>
      <c r="C36" s="11"/>
      <c r="D36" s="18" t="str">
        <f>GetCode(W36:AG36,info!$K$3:$U$3,B36,"-")</f>
        <v>NA</v>
      </c>
      <c r="E36" s="12"/>
      <c r="F36" s="12"/>
      <c r="G36" s="13"/>
      <c r="H36" s="14"/>
      <c r="I36" s="15"/>
      <c r="J36" s="16"/>
      <c r="K36" s="13"/>
      <c r="L36" s="13"/>
      <c r="M36" s="13"/>
      <c r="N36" s="13"/>
      <c r="O36" s="13"/>
      <c r="P36" s="17"/>
      <c r="Q36" s="17"/>
      <c r="R36" s="14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7"/>
      <c r="AJ36" s="17"/>
      <c r="AK36" s="18"/>
      <c r="AL36" s="18"/>
      <c r="AM36" s="38"/>
      <c r="AN36" s="18"/>
      <c r="AO36" s="18"/>
      <c r="AP36" s="18"/>
      <c r="AQ36" s="18"/>
      <c r="AR36" s="18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62">
        <f t="shared" si="0"/>
        <v>0</v>
      </c>
    </row>
    <row r="37" spans="1:56" ht="15.75" x14ac:dyDescent="0.25">
      <c r="A37" s="9">
        <v>36</v>
      </c>
      <c r="B37" s="10"/>
      <c r="C37" s="11"/>
      <c r="D37" s="18" t="str">
        <f>GetCode(W37:AG37,info!$K$3:$U$3,B37,"-")</f>
        <v>NA</v>
      </c>
      <c r="E37" s="12"/>
      <c r="F37" s="12"/>
      <c r="G37" s="13"/>
      <c r="H37" s="14"/>
      <c r="I37" s="15"/>
      <c r="J37" s="16"/>
      <c r="K37" s="13"/>
      <c r="L37" s="13"/>
      <c r="M37" s="13"/>
      <c r="N37" s="13"/>
      <c r="O37" s="13"/>
      <c r="P37" s="17"/>
      <c r="Q37" s="17"/>
      <c r="R37" s="14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7"/>
      <c r="AJ37" s="17"/>
      <c r="AK37" s="18"/>
      <c r="AL37" s="18"/>
      <c r="AM37" s="38"/>
      <c r="AN37" s="18"/>
      <c r="AO37" s="18"/>
      <c r="AP37" s="18"/>
      <c r="AQ37" s="18"/>
      <c r="AR37" s="18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62">
        <f t="shared" si="0"/>
        <v>0</v>
      </c>
    </row>
    <row r="38" spans="1:56" ht="15.75" x14ac:dyDescent="0.25">
      <c r="A38" s="9">
        <v>37</v>
      </c>
      <c r="B38" s="10"/>
      <c r="C38" s="11"/>
      <c r="D38" s="18" t="str">
        <f>GetCode(W38:AG38,info!$K$3:$U$3,B38,"-")</f>
        <v>NA</v>
      </c>
      <c r="E38" s="12"/>
      <c r="F38" s="12"/>
      <c r="G38" s="13"/>
      <c r="H38" s="14"/>
      <c r="I38" s="15"/>
      <c r="J38" s="16"/>
      <c r="K38" s="13"/>
      <c r="L38" s="13"/>
      <c r="M38" s="13"/>
      <c r="N38" s="13"/>
      <c r="O38" s="13"/>
      <c r="P38" s="17"/>
      <c r="Q38" s="17"/>
      <c r="R38" s="14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7"/>
      <c r="AJ38" s="17"/>
      <c r="AK38" s="18"/>
      <c r="AL38" s="18"/>
      <c r="AM38" s="38"/>
      <c r="AN38" s="18"/>
      <c r="AO38" s="18"/>
      <c r="AP38" s="18"/>
      <c r="AQ38" s="18"/>
      <c r="AR38" s="18"/>
      <c r="AS38" s="13"/>
      <c r="AT38" s="13">
        <v>1</v>
      </c>
      <c r="AU38" s="13"/>
      <c r="AV38" s="13"/>
      <c r="AW38" s="13"/>
      <c r="AX38" s="13"/>
      <c r="AY38" s="13"/>
      <c r="AZ38" s="13"/>
      <c r="BA38" s="13"/>
      <c r="BB38" s="13"/>
      <c r="BC38" s="13"/>
      <c r="BD38" s="62">
        <f t="shared" si="0"/>
        <v>1</v>
      </c>
    </row>
    <row r="39" spans="1:56" ht="15.75" x14ac:dyDescent="0.25">
      <c r="A39" s="9">
        <v>38</v>
      </c>
      <c r="B39" s="10"/>
      <c r="C39" s="11"/>
      <c r="D39" s="18" t="str">
        <f>GetCode(W39:AG39,info!$K$3:$U$3,B39,"-")</f>
        <v>NA</v>
      </c>
      <c r="E39" s="12"/>
      <c r="F39" s="12"/>
      <c r="G39" s="13"/>
      <c r="H39" s="14"/>
      <c r="I39" s="15"/>
      <c r="J39" s="16"/>
      <c r="K39" s="13"/>
      <c r="L39" s="13"/>
      <c r="M39" s="13"/>
      <c r="N39" s="13"/>
      <c r="O39" s="13"/>
      <c r="P39" s="17"/>
      <c r="Q39" s="17"/>
      <c r="R39" s="14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7"/>
      <c r="AJ39" s="17"/>
      <c r="AK39" s="18"/>
      <c r="AL39" s="18"/>
      <c r="AM39" s="38"/>
      <c r="AN39" s="18"/>
      <c r="AO39" s="18"/>
      <c r="AP39" s="18"/>
      <c r="AQ39" s="18"/>
      <c r="AR39" s="18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62">
        <f t="shared" si="0"/>
        <v>0</v>
      </c>
    </row>
    <row r="40" spans="1:56" ht="15.75" x14ac:dyDescent="0.25">
      <c r="A40" s="9">
        <v>39</v>
      </c>
      <c r="B40" s="10"/>
      <c r="C40" s="11"/>
      <c r="D40" s="18" t="str">
        <f>GetCode(W40:AG40,info!$K$3:$U$3,B40,"-")</f>
        <v>NA</v>
      </c>
      <c r="E40" s="12"/>
      <c r="F40" s="12"/>
      <c r="G40" s="13"/>
      <c r="H40" s="14"/>
      <c r="I40" s="15"/>
      <c r="J40" s="16"/>
      <c r="K40" s="13"/>
      <c r="L40" s="13"/>
      <c r="M40" s="13"/>
      <c r="N40" s="13"/>
      <c r="O40" s="13"/>
      <c r="P40" s="17"/>
      <c r="Q40" s="17"/>
      <c r="R40" s="14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7"/>
      <c r="AJ40" s="17"/>
      <c r="AK40" s="18"/>
      <c r="AL40" s="18"/>
      <c r="AM40" s="38"/>
      <c r="AN40" s="18"/>
      <c r="AO40" s="18"/>
      <c r="AP40" s="18"/>
      <c r="AQ40" s="18"/>
      <c r="AR40" s="18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62">
        <f t="shared" si="0"/>
        <v>0</v>
      </c>
    </row>
    <row r="41" spans="1:56" ht="15.75" x14ac:dyDescent="0.25">
      <c r="A41" s="9">
        <v>40</v>
      </c>
      <c r="B41" s="10"/>
      <c r="C41" s="11"/>
      <c r="D41" s="18" t="str">
        <f>GetCode(W41:AG41,info!$K$3:$U$3,B41,"-")</f>
        <v>NA</v>
      </c>
      <c r="E41" s="12"/>
      <c r="F41" s="12"/>
      <c r="G41" s="13"/>
      <c r="H41" s="14"/>
      <c r="I41" s="15"/>
      <c r="J41" s="16"/>
      <c r="K41" s="13"/>
      <c r="L41" s="13"/>
      <c r="M41" s="13"/>
      <c r="N41" s="13"/>
      <c r="O41" s="13"/>
      <c r="P41" s="17"/>
      <c r="Q41" s="17"/>
      <c r="R41" s="14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7"/>
      <c r="AJ41" s="17"/>
      <c r="AK41" s="18"/>
      <c r="AL41" s="18"/>
      <c r="AM41" s="38"/>
      <c r="AN41" s="18"/>
      <c r="AO41" s="18"/>
      <c r="AP41" s="18"/>
      <c r="AQ41" s="18"/>
      <c r="AR41" s="18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62">
        <f t="shared" si="0"/>
        <v>0</v>
      </c>
    </row>
    <row r="42" spans="1:56" ht="15.75" x14ac:dyDescent="0.25">
      <c r="A42" s="9">
        <v>41</v>
      </c>
      <c r="B42" s="10"/>
      <c r="C42" s="11"/>
      <c r="D42" s="18" t="str">
        <f>GetCode(W42:AG42,info!$K$3:$U$3,B42,"-")</f>
        <v>NA</v>
      </c>
      <c r="E42" s="12"/>
      <c r="F42" s="12"/>
      <c r="G42" s="13"/>
      <c r="H42" s="14"/>
      <c r="I42" s="15"/>
      <c r="J42" s="16"/>
      <c r="K42" s="13"/>
      <c r="L42" s="13"/>
      <c r="M42" s="13"/>
      <c r="N42" s="13"/>
      <c r="O42" s="13"/>
      <c r="P42" s="17"/>
      <c r="Q42" s="17"/>
      <c r="R42" s="14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7"/>
      <c r="AJ42" s="17"/>
      <c r="AK42" s="18"/>
      <c r="AL42" s="18"/>
      <c r="AM42" s="38"/>
      <c r="AN42" s="18"/>
      <c r="AO42" s="18"/>
      <c r="AP42" s="18"/>
      <c r="AQ42" s="18"/>
      <c r="AR42" s="18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62">
        <f t="shared" si="0"/>
        <v>0</v>
      </c>
    </row>
    <row r="43" spans="1:56" ht="15.75" x14ac:dyDescent="0.25">
      <c r="A43" s="9">
        <v>42</v>
      </c>
      <c r="B43" s="10"/>
      <c r="C43" s="11"/>
      <c r="D43" s="18" t="str">
        <f>GetCode(W43:AG43,info!$K$3:$U$3,B43,"-")</f>
        <v>NA</v>
      </c>
      <c r="E43" s="12"/>
      <c r="F43" s="12"/>
      <c r="G43" s="13"/>
      <c r="H43" s="14"/>
      <c r="I43" s="15"/>
      <c r="J43" s="16"/>
      <c r="K43" s="13"/>
      <c r="L43" s="13"/>
      <c r="M43" s="13"/>
      <c r="N43" s="13"/>
      <c r="O43" s="13"/>
      <c r="P43" s="17"/>
      <c r="Q43" s="17"/>
      <c r="R43" s="14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7"/>
      <c r="AJ43" s="17"/>
      <c r="AK43" s="18"/>
      <c r="AL43" s="18"/>
      <c r="AM43" s="38"/>
      <c r="AN43" s="18"/>
      <c r="AO43" s="18"/>
      <c r="AP43" s="18"/>
      <c r="AQ43" s="18"/>
      <c r="AR43" s="18"/>
      <c r="AS43" s="13"/>
      <c r="AT43" s="13"/>
      <c r="AU43" s="13"/>
      <c r="AV43" s="13"/>
      <c r="AW43" s="13"/>
      <c r="AX43" s="13"/>
      <c r="AY43" s="13"/>
      <c r="AZ43" s="13"/>
      <c r="BA43" s="13">
        <v>1</v>
      </c>
      <c r="BB43" s="13"/>
      <c r="BC43" s="13"/>
      <c r="BD43" s="62">
        <f t="shared" si="0"/>
        <v>1</v>
      </c>
    </row>
    <row r="44" spans="1:56" ht="15.75" x14ac:dyDescent="0.25">
      <c r="A44" s="9">
        <v>43</v>
      </c>
      <c r="B44" s="10"/>
      <c r="C44" s="11"/>
      <c r="D44" s="18" t="str">
        <f>GetCode(W44:AG44,info!$K$3:$U$3,B44,"-")</f>
        <v>NA</v>
      </c>
      <c r="E44" s="12"/>
      <c r="F44" s="12"/>
      <c r="G44" s="13"/>
      <c r="H44" s="14"/>
      <c r="I44" s="15"/>
      <c r="J44" s="16"/>
      <c r="K44" s="13"/>
      <c r="L44" s="13"/>
      <c r="M44" s="13"/>
      <c r="N44" s="13"/>
      <c r="O44" s="13"/>
      <c r="P44" s="17"/>
      <c r="Q44" s="17"/>
      <c r="R44" s="14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7"/>
      <c r="AJ44" s="17"/>
      <c r="AK44" s="18"/>
      <c r="AL44" s="18"/>
      <c r="AM44" s="38"/>
      <c r="AN44" s="18"/>
      <c r="AO44" s="18"/>
      <c r="AP44" s="18"/>
      <c r="AQ44" s="18"/>
      <c r="AR44" s="18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62">
        <f t="shared" si="0"/>
        <v>0</v>
      </c>
    </row>
    <row r="45" spans="1:56" ht="15.75" x14ac:dyDescent="0.25">
      <c r="A45" s="9">
        <v>44</v>
      </c>
      <c r="B45" s="10"/>
      <c r="C45" s="11"/>
      <c r="D45" s="18" t="str">
        <f>GetCode(W45:AG45,info!$K$3:$U$3,B45,"-")</f>
        <v>NA</v>
      </c>
      <c r="E45" s="12"/>
      <c r="F45" s="12"/>
      <c r="G45" s="13"/>
      <c r="H45" s="14"/>
      <c r="I45" s="15"/>
      <c r="J45" s="16"/>
      <c r="K45" s="13"/>
      <c r="L45" s="13"/>
      <c r="M45" s="13"/>
      <c r="N45" s="13"/>
      <c r="O45" s="13"/>
      <c r="P45" s="17"/>
      <c r="Q45" s="17"/>
      <c r="R45" s="14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7"/>
      <c r="AJ45" s="17"/>
      <c r="AK45" s="18"/>
      <c r="AL45" s="18"/>
      <c r="AM45" s="38"/>
      <c r="AN45" s="18"/>
      <c r="AO45" s="18"/>
      <c r="AP45" s="18"/>
      <c r="AQ45" s="18"/>
      <c r="AR45" s="18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62">
        <f t="shared" si="0"/>
        <v>0</v>
      </c>
    </row>
    <row r="46" spans="1:56" ht="15.75" x14ac:dyDescent="0.25">
      <c r="A46" s="9">
        <v>45</v>
      </c>
      <c r="B46" s="10"/>
      <c r="C46" s="11"/>
      <c r="D46" s="18" t="str">
        <f>GetCode(W46:AG46,info!$K$3:$U$3,B46,"-")</f>
        <v>NA</v>
      </c>
      <c r="E46" s="12"/>
      <c r="F46" s="12"/>
      <c r="G46" s="13"/>
      <c r="H46" s="14"/>
      <c r="I46" s="15"/>
      <c r="J46" s="16"/>
      <c r="K46" s="13"/>
      <c r="L46" s="13"/>
      <c r="M46" s="13"/>
      <c r="N46" s="13"/>
      <c r="O46" s="13"/>
      <c r="P46" s="17"/>
      <c r="Q46" s="17"/>
      <c r="R46" s="14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7"/>
      <c r="AJ46" s="17"/>
      <c r="AK46" s="18"/>
      <c r="AL46" s="18"/>
      <c r="AM46" s="38"/>
      <c r="AN46" s="18"/>
      <c r="AO46" s="18"/>
      <c r="AP46" s="18"/>
      <c r="AQ46" s="18"/>
      <c r="AR46" s="18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62">
        <f t="shared" si="0"/>
        <v>0</v>
      </c>
    </row>
    <row r="47" spans="1:56" ht="15.75" x14ac:dyDescent="0.25">
      <c r="A47" s="9">
        <v>46</v>
      </c>
      <c r="B47" s="10"/>
      <c r="C47" s="11"/>
      <c r="D47" s="18" t="str">
        <f>GetCode(W47:AG47,info!$K$3:$U$3,B47,"-")</f>
        <v>NA</v>
      </c>
      <c r="E47" s="12"/>
      <c r="F47" s="12"/>
      <c r="G47" s="13"/>
      <c r="H47" s="14"/>
      <c r="I47" s="15"/>
      <c r="J47" s="16"/>
      <c r="K47" s="13"/>
      <c r="L47" s="13"/>
      <c r="M47" s="13"/>
      <c r="N47" s="13"/>
      <c r="O47" s="13"/>
      <c r="P47" s="17"/>
      <c r="Q47" s="17"/>
      <c r="R47" s="14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7"/>
      <c r="AJ47" s="17"/>
      <c r="AK47" s="18"/>
      <c r="AL47" s="18"/>
      <c r="AM47" s="38"/>
      <c r="AN47" s="18"/>
      <c r="AO47" s="18"/>
      <c r="AP47" s="18"/>
      <c r="AQ47" s="18"/>
      <c r="AR47" s="18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62">
        <f t="shared" si="0"/>
        <v>0</v>
      </c>
    </row>
    <row r="48" spans="1:56" ht="15.75" x14ac:dyDescent="0.25">
      <c r="A48" s="9">
        <v>47</v>
      </c>
      <c r="B48" s="10"/>
      <c r="C48" s="11"/>
      <c r="D48" s="18" t="str">
        <f>GetCode(W48:AG48,info!$K$3:$U$3,B48,"-")</f>
        <v>NA</v>
      </c>
      <c r="E48" s="12"/>
      <c r="F48" s="12"/>
      <c r="G48" s="13"/>
      <c r="H48" s="14"/>
      <c r="I48" s="15"/>
      <c r="J48" s="16"/>
      <c r="K48" s="13"/>
      <c r="L48" s="13"/>
      <c r="M48" s="13"/>
      <c r="N48" s="13"/>
      <c r="O48" s="13"/>
      <c r="P48" s="17"/>
      <c r="Q48" s="17"/>
      <c r="R48" s="14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7"/>
      <c r="AJ48" s="17"/>
      <c r="AK48" s="18"/>
      <c r="AL48" s="18"/>
      <c r="AM48" s="38"/>
      <c r="AN48" s="18"/>
      <c r="AO48" s="18"/>
      <c r="AP48" s="18"/>
      <c r="AQ48" s="18"/>
      <c r="AR48" s="18"/>
      <c r="AS48" s="13"/>
      <c r="AT48" s="13">
        <v>1</v>
      </c>
      <c r="AU48" s="13"/>
      <c r="AV48" s="13"/>
      <c r="AW48" s="13"/>
      <c r="AX48" s="13"/>
      <c r="AY48" s="13"/>
      <c r="AZ48" s="13"/>
      <c r="BA48" s="13"/>
      <c r="BB48" s="13"/>
      <c r="BC48" s="13"/>
      <c r="BD48" s="62">
        <f t="shared" si="0"/>
        <v>1</v>
      </c>
    </row>
    <row r="49" spans="1:56" ht="15.75" x14ac:dyDescent="0.25">
      <c r="A49" s="9">
        <v>48</v>
      </c>
      <c r="B49" s="10"/>
      <c r="C49" s="11"/>
      <c r="D49" s="18" t="str">
        <f>GetCode(W49:AG49,info!$K$3:$U$3,B49,"-")</f>
        <v>NA</v>
      </c>
      <c r="E49" s="12"/>
      <c r="F49" s="12"/>
      <c r="G49" s="13"/>
      <c r="H49" s="14"/>
      <c r="I49" s="15"/>
      <c r="J49" s="16"/>
      <c r="K49" s="13"/>
      <c r="L49" s="13"/>
      <c r="M49" s="13"/>
      <c r="N49" s="13"/>
      <c r="O49" s="13"/>
      <c r="P49" s="17"/>
      <c r="Q49" s="17"/>
      <c r="R49" s="14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7"/>
      <c r="AJ49" s="17"/>
      <c r="AK49" s="18"/>
      <c r="AL49" s="18"/>
      <c r="AM49" s="38"/>
      <c r="AN49" s="18"/>
      <c r="AO49" s="18"/>
      <c r="AP49" s="18"/>
      <c r="AQ49" s="18"/>
      <c r="AR49" s="18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62">
        <f t="shared" si="0"/>
        <v>0</v>
      </c>
    </row>
    <row r="50" spans="1:56" ht="15.75" x14ac:dyDescent="0.25">
      <c r="A50" s="9">
        <v>49</v>
      </c>
      <c r="B50" s="10"/>
      <c r="C50" s="11"/>
      <c r="D50" s="18" t="str">
        <f>GetCode(W50:AG50,info!$K$3:$U$3,B50,"-")</f>
        <v>NA</v>
      </c>
      <c r="E50" s="12"/>
      <c r="F50" s="12"/>
      <c r="G50" s="13"/>
      <c r="H50" s="14"/>
      <c r="I50" s="15"/>
      <c r="J50" s="16"/>
      <c r="K50" s="13"/>
      <c r="L50" s="13"/>
      <c r="M50" s="13"/>
      <c r="N50" s="13"/>
      <c r="O50" s="13"/>
      <c r="P50" s="17"/>
      <c r="Q50" s="17"/>
      <c r="R50" s="14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7"/>
      <c r="AJ50" s="17"/>
      <c r="AK50" s="18"/>
      <c r="AL50" s="18"/>
      <c r="AM50" s="38"/>
      <c r="AN50" s="18"/>
      <c r="AO50" s="18"/>
      <c r="AP50" s="18"/>
      <c r="AQ50" s="18"/>
      <c r="AR50" s="18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62">
        <f t="shared" si="0"/>
        <v>0</v>
      </c>
    </row>
    <row r="51" spans="1:56" ht="15.75" x14ac:dyDescent="0.25">
      <c r="A51" s="9">
        <v>50</v>
      </c>
      <c r="B51" s="10"/>
      <c r="C51" s="11"/>
      <c r="D51" s="18" t="str">
        <f>GetCode(W51:AG51,info!$K$3:$U$3,B51,"-")</f>
        <v>NA</v>
      </c>
      <c r="E51" s="12"/>
      <c r="F51" s="12"/>
      <c r="G51" s="13"/>
      <c r="H51" s="14"/>
      <c r="I51" s="15"/>
      <c r="J51" s="16"/>
      <c r="K51" s="13"/>
      <c r="L51" s="13"/>
      <c r="M51" s="13"/>
      <c r="N51" s="13"/>
      <c r="O51" s="13"/>
      <c r="P51" s="17"/>
      <c r="Q51" s="17"/>
      <c r="R51" s="14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7"/>
      <c r="AJ51" s="17"/>
      <c r="AK51" s="18"/>
      <c r="AL51" s="18"/>
      <c r="AM51" s="38"/>
      <c r="AN51" s="18"/>
      <c r="AO51" s="18"/>
      <c r="AP51" s="18"/>
      <c r="AQ51" s="18"/>
      <c r="AR51" s="18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62">
        <f t="shared" si="0"/>
        <v>0</v>
      </c>
    </row>
    <row r="52" spans="1:56" ht="15.75" x14ac:dyDescent="0.25">
      <c r="A52" s="9">
        <v>51</v>
      </c>
      <c r="B52" s="10"/>
      <c r="C52" s="11"/>
      <c r="D52" s="18" t="str">
        <f>GetCode(W52:AG52,info!$K$3:$U$3,B52,"-")</f>
        <v>NA</v>
      </c>
      <c r="E52" s="12"/>
      <c r="F52" s="12"/>
      <c r="G52" s="13"/>
      <c r="H52" s="14"/>
      <c r="I52" s="15"/>
      <c r="J52" s="16"/>
      <c r="K52" s="13"/>
      <c r="L52" s="13"/>
      <c r="M52" s="13"/>
      <c r="N52" s="13"/>
      <c r="O52" s="13"/>
      <c r="P52" s="17"/>
      <c r="Q52" s="17"/>
      <c r="R52" s="14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7"/>
      <c r="AJ52" s="17"/>
      <c r="AK52" s="18"/>
      <c r="AL52" s="18"/>
      <c r="AM52" s="38"/>
      <c r="AN52" s="18"/>
      <c r="AO52" s="18"/>
      <c r="AP52" s="18"/>
      <c r="AQ52" s="18"/>
      <c r="AR52" s="18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62">
        <f t="shared" si="0"/>
        <v>0</v>
      </c>
    </row>
    <row r="53" spans="1:56" ht="15.75" x14ac:dyDescent="0.25">
      <c r="A53" s="9">
        <v>52</v>
      </c>
      <c r="B53" s="10"/>
      <c r="C53" s="11"/>
      <c r="D53" s="18" t="str">
        <f>GetCode(W53:AG53,info!$K$3:$U$3,B53,"-")</f>
        <v>NA</v>
      </c>
      <c r="E53" s="12"/>
      <c r="F53" s="12"/>
      <c r="G53" s="13"/>
      <c r="H53" s="14"/>
      <c r="I53" s="15"/>
      <c r="J53" s="16"/>
      <c r="K53" s="13"/>
      <c r="L53" s="13"/>
      <c r="M53" s="13"/>
      <c r="N53" s="13"/>
      <c r="O53" s="13"/>
      <c r="P53" s="17"/>
      <c r="Q53" s="17"/>
      <c r="R53" s="14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7"/>
      <c r="AJ53" s="17"/>
      <c r="AK53" s="18"/>
      <c r="AL53" s="18"/>
      <c r="AM53" s="38"/>
      <c r="AN53" s="18"/>
      <c r="AO53" s="18"/>
      <c r="AP53" s="18"/>
      <c r="AQ53" s="18"/>
      <c r="AR53" s="18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62">
        <f t="shared" si="0"/>
        <v>0</v>
      </c>
    </row>
    <row r="54" spans="1:56" ht="15.75" x14ac:dyDescent="0.25">
      <c r="A54" s="9">
        <v>53</v>
      </c>
      <c r="B54" s="10"/>
      <c r="C54" s="11"/>
      <c r="D54" s="18" t="str">
        <f>GetCode(W54:AG54,info!$K$3:$U$3,B54,"-")</f>
        <v>NA</v>
      </c>
      <c r="E54" s="12"/>
      <c r="F54" s="12"/>
      <c r="G54" s="13"/>
      <c r="H54" s="14"/>
      <c r="I54" s="15"/>
      <c r="J54" s="16"/>
      <c r="K54" s="13"/>
      <c r="L54" s="13"/>
      <c r="M54" s="13"/>
      <c r="N54" s="13"/>
      <c r="O54" s="13"/>
      <c r="P54" s="17"/>
      <c r="Q54" s="17"/>
      <c r="R54" s="14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7"/>
      <c r="AJ54" s="17"/>
      <c r="AK54" s="18"/>
      <c r="AL54" s="18"/>
      <c r="AM54" s="38"/>
      <c r="AN54" s="18"/>
      <c r="AO54" s="18"/>
      <c r="AP54" s="18"/>
      <c r="AQ54" s="18"/>
      <c r="AR54" s="18"/>
      <c r="AS54" s="13"/>
      <c r="AT54" s="13"/>
      <c r="AU54" s="13"/>
      <c r="AV54" s="13"/>
      <c r="AW54" s="13">
        <v>1</v>
      </c>
      <c r="AX54" s="13"/>
      <c r="AY54" s="13"/>
      <c r="AZ54" s="13"/>
      <c r="BA54" s="13"/>
      <c r="BB54" s="13"/>
      <c r="BC54" s="13"/>
      <c r="BD54" s="62">
        <f t="shared" si="0"/>
        <v>1</v>
      </c>
    </row>
    <row r="55" spans="1:56" ht="15.75" x14ac:dyDescent="0.25">
      <c r="A55" s="9">
        <v>54</v>
      </c>
      <c r="B55" s="10"/>
      <c r="C55" s="11"/>
      <c r="D55" s="18" t="str">
        <f>GetCode(W55:AG55,info!$K$3:$U$3,B55,"-")</f>
        <v>NA</v>
      </c>
      <c r="E55" s="12"/>
      <c r="F55" s="12"/>
      <c r="G55" s="13"/>
      <c r="H55" s="14"/>
      <c r="I55" s="15"/>
      <c r="J55" s="16"/>
      <c r="K55" s="13"/>
      <c r="L55" s="13"/>
      <c r="M55" s="13"/>
      <c r="N55" s="13"/>
      <c r="O55" s="13"/>
      <c r="P55" s="17"/>
      <c r="Q55" s="17"/>
      <c r="R55" s="14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7"/>
      <c r="AJ55" s="17"/>
      <c r="AK55" s="18"/>
      <c r="AL55" s="18"/>
      <c r="AM55" s="38"/>
      <c r="AN55" s="18"/>
      <c r="AO55" s="18"/>
      <c r="AP55" s="18"/>
      <c r="AQ55" s="18"/>
      <c r="AR55" s="18"/>
      <c r="AS55" s="13">
        <v>1</v>
      </c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62">
        <f t="shared" si="0"/>
        <v>1</v>
      </c>
    </row>
    <row r="56" spans="1:56" ht="15.75" x14ac:dyDescent="0.25">
      <c r="A56" s="9">
        <v>55</v>
      </c>
      <c r="B56" s="10"/>
      <c r="C56" s="11"/>
      <c r="D56" s="18" t="str">
        <f>GetCode(W56:AG56,info!$K$3:$U$3,B56,"-")</f>
        <v>NA</v>
      </c>
      <c r="E56" s="12"/>
      <c r="F56" s="12"/>
      <c r="G56" s="13"/>
      <c r="H56" s="14"/>
      <c r="I56" s="15"/>
      <c r="J56" s="16"/>
      <c r="K56" s="13"/>
      <c r="L56" s="13"/>
      <c r="M56" s="13"/>
      <c r="N56" s="13"/>
      <c r="O56" s="13"/>
      <c r="P56" s="17"/>
      <c r="Q56" s="17"/>
      <c r="R56" s="14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7"/>
      <c r="AJ56" s="17"/>
      <c r="AK56" s="18"/>
      <c r="AL56" s="18"/>
      <c r="AM56" s="38"/>
      <c r="AN56" s="18"/>
      <c r="AO56" s="18"/>
      <c r="AP56" s="18"/>
      <c r="AQ56" s="18"/>
      <c r="AR56" s="18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62">
        <f t="shared" si="0"/>
        <v>0</v>
      </c>
    </row>
    <row r="57" spans="1:56" ht="15.75" x14ac:dyDescent="0.25">
      <c r="A57" s="9">
        <v>56</v>
      </c>
      <c r="B57" s="10"/>
      <c r="C57" s="11"/>
      <c r="D57" s="18" t="str">
        <f>GetCode(W57:AG57,info!$K$3:$U$3,B57,"-")</f>
        <v>NA</v>
      </c>
      <c r="E57" s="12"/>
      <c r="F57" s="12"/>
      <c r="G57" s="13"/>
      <c r="H57" s="14"/>
      <c r="I57" s="15"/>
      <c r="J57" s="16"/>
      <c r="K57" s="13"/>
      <c r="L57" s="13"/>
      <c r="M57" s="13"/>
      <c r="N57" s="13"/>
      <c r="O57" s="13"/>
      <c r="P57" s="17"/>
      <c r="Q57" s="17"/>
      <c r="R57" s="14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7"/>
      <c r="AJ57" s="17"/>
      <c r="AK57" s="18"/>
      <c r="AL57" s="18"/>
      <c r="AM57" s="38"/>
      <c r="AN57" s="18"/>
      <c r="AO57" s="18"/>
      <c r="AP57" s="18"/>
      <c r="AQ57" s="18"/>
      <c r="AR57" s="18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62">
        <f t="shared" si="0"/>
        <v>0</v>
      </c>
    </row>
    <row r="58" spans="1:56" ht="15.75" x14ac:dyDescent="0.25">
      <c r="A58" s="9">
        <v>57</v>
      </c>
      <c r="B58" s="10"/>
      <c r="C58" s="11"/>
      <c r="D58" s="18" t="str">
        <f>GetCode(W58:AG58,info!$K$3:$U$3,B58,"-")</f>
        <v>NA</v>
      </c>
      <c r="E58" s="12"/>
      <c r="F58" s="12"/>
      <c r="G58" s="13"/>
      <c r="H58" s="14"/>
      <c r="I58" s="15"/>
      <c r="J58" s="16"/>
      <c r="K58" s="13"/>
      <c r="L58" s="13"/>
      <c r="M58" s="13"/>
      <c r="N58" s="13"/>
      <c r="O58" s="13"/>
      <c r="P58" s="17"/>
      <c r="Q58" s="17"/>
      <c r="R58" s="14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7"/>
      <c r="AJ58" s="17"/>
      <c r="AK58" s="18"/>
      <c r="AL58" s="18"/>
      <c r="AM58" s="38"/>
      <c r="AN58" s="18"/>
      <c r="AO58" s="18"/>
      <c r="AP58" s="18"/>
      <c r="AQ58" s="18"/>
      <c r="AR58" s="18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62">
        <f t="shared" si="0"/>
        <v>0</v>
      </c>
    </row>
    <row r="59" spans="1:56" ht="15.75" x14ac:dyDescent="0.25">
      <c r="A59" s="9">
        <v>58</v>
      </c>
      <c r="B59" s="10"/>
      <c r="C59" s="11"/>
      <c r="D59" s="18" t="str">
        <f>GetCode(W59:AG59,info!$K$3:$U$3,B59,"-")</f>
        <v>NA</v>
      </c>
      <c r="E59" s="12"/>
      <c r="F59" s="12"/>
      <c r="G59" s="13"/>
      <c r="H59" s="14"/>
      <c r="I59" s="15"/>
      <c r="J59" s="16"/>
      <c r="K59" s="13"/>
      <c r="L59" s="13"/>
      <c r="M59" s="13"/>
      <c r="N59" s="13"/>
      <c r="O59" s="13"/>
      <c r="P59" s="17"/>
      <c r="Q59" s="17"/>
      <c r="R59" s="14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7"/>
      <c r="AJ59" s="17"/>
      <c r="AK59" s="18"/>
      <c r="AL59" s="18"/>
      <c r="AM59" s="38"/>
      <c r="AN59" s="18"/>
      <c r="AO59" s="18"/>
      <c r="AP59" s="18"/>
      <c r="AQ59" s="18"/>
      <c r="AR59" s="18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62">
        <f t="shared" si="0"/>
        <v>0</v>
      </c>
    </row>
    <row r="60" spans="1:56" ht="15.75" x14ac:dyDescent="0.25">
      <c r="A60" s="9">
        <v>59</v>
      </c>
      <c r="B60" s="10"/>
      <c r="C60" s="11"/>
      <c r="D60" s="18" t="str">
        <f>GetCode(W60:AG60,info!$K$3:$U$3,B60,"-")</f>
        <v>NA</v>
      </c>
      <c r="E60" s="12"/>
      <c r="F60" s="12"/>
      <c r="G60" s="13"/>
      <c r="H60" s="14"/>
      <c r="I60" s="15"/>
      <c r="J60" s="16"/>
      <c r="K60" s="13"/>
      <c r="L60" s="13"/>
      <c r="M60" s="13"/>
      <c r="N60" s="13"/>
      <c r="O60" s="13"/>
      <c r="P60" s="17"/>
      <c r="Q60" s="17"/>
      <c r="R60" s="14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7"/>
      <c r="AJ60" s="17"/>
      <c r="AK60" s="18"/>
      <c r="AL60" s="18"/>
      <c r="AM60" s="38"/>
      <c r="AN60" s="18"/>
      <c r="AO60" s="18"/>
      <c r="AP60" s="18"/>
      <c r="AQ60" s="18"/>
      <c r="AR60" s="18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62">
        <f t="shared" si="0"/>
        <v>0</v>
      </c>
    </row>
    <row r="61" spans="1:56" ht="15.75" x14ac:dyDescent="0.25">
      <c r="A61" s="9">
        <v>60</v>
      </c>
      <c r="B61" s="10"/>
      <c r="C61" s="11"/>
      <c r="D61" s="18" t="str">
        <f>GetCode(W61:AG61,info!$K$3:$U$3,B61,"-")</f>
        <v>NA</v>
      </c>
      <c r="E61" s="12"/>
      <c r="F61" s="12"/>
      <c r="G61" s="13"/>
      <c r="H61" s="14"/>
      <c r="I61" s="15"/>
      <c r="J61" s="16"/>
      <c r="K61" s="13"/>
      <c r="L61" s="13"/>
      <c r="M61" s="13"/>
      <c r="N61" s="13"/>
      <c r="O61" s="13"/>
      <c r="P61" s="17"/>
      <c r="Q61" s="17"/>
      <c r="R61" s="14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7"/>
      <c r="AJ61" s="17"/>
      <c r="AK61" s="18"/>
      <c r="AL61" s="18"/>
      <c r="AM61" s="38"/>
      <c r="AN61" s="18"/>
      <c r="AO61" s="18"/>
      <c r="AP61" s="18"/>
      <c r="AQ61" s="18"/>
      <c r="AR61" s="18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62">
        <f t="shared" si="0"/>
        <v>0</v>
      </c>
    </row>
    <row r="62" spans="1:56" ht="15.75" x14ac:dyDescent="0.25">
      <c r="A62" s="9">
        <v>61</v>
      </c>
      <c r="B62" s="10"/>
      <c r="C62" s="11"/>
      <c r="D62" s="18" t="str">
        <f>GetCode(W62:AG62,info!$K$3:$U$3,B62,"-")</f>
        <v>NA</v>
      </c>
      <c r="E62" s="12"/>
      <c r="F62" s="12"/>
      <c r="G62" s="13"/>
      <c r="H62" s="14"/>
      <c r="I62" s="15"/>
      <c r="J62" s="16"/>
      <c r="K62" s="13"/>
      <c r="L62" s="13"/>
      <c r="M62" s="13"/>
      <c r="N62" s="13"/>
      <c r="O62" s="13"/>
      <c r="P62" s="17"/>
      <c r="Q62" s="17"/>
      <c r="R62" s="14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7"/>
      <c r="AJ62" s="17"/>
      <c r="AK62" s="18"/>
      <c r="AL62" s="18"/>
      <c r="AM62" s="38"/>
      <c r="AN62" s="18"/>
      <c r="AO62" s="18"/>
      <c r="AP62" s="18"/>
      <c r="AQ62" s="18"/>
      <c r="AR62" s="18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62"/>
    </row>
    <row r="63" spans="1:56" ht="15.75" x14ac:dyDescent="0.25">
      <c r="A63" s="9">
        <v>62</v>
      </c>
      <c r="B63" s="10"/>
      <c r="C63" s="11"/>
      <c r="D63" s="18" t="str">
        <f>GetCode(W63:AG63,info!$K$3:$U$3,B63,"-")</f>
        <v>NA</v>
      </c>
      <c r="E63" s="12"/>
      <c r="F63" s="12"/>
      <c r="G63" s="13"/>
      <c r="H63" s="14"/>
      <c r="I63" s="15"/>
      <c r="J63" s="16"/>
      <c r="K63" s="13"/>
      <c r="L63" s="13"/>
      <c r="M63" s="13"/>
      <c r="N63" s="13"/>
      <c r="O63" s="13"/>
      <c r="P63" s="17"/>
      <c r="Q63" s="17"/>
      <c r="R63" s="14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7"/>
      <c r="AJ63" s="17"/>
      <c r="AK63" s="18"/>
      <c r="AL63" s="18"/>
      <c r="AM63" s="38"/>
      <c r="AN63" s="18"/>
      <c r="AO63" s="18"/>
      <c r="AP63" s="18"/>
      <c r="AQ63" s="18"/>
      <c r="AR63" s="18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62"/>
    </row>
    <row r="1048576" spans="30:30" x14ac:dyDescent="0.25">
      <c r="AD1048576" t="s">
        <v>131</v>
      </c>
    </row>
  </sheetData>
  <conditionalFormatting sqref="C2:C3">
    <cfRule type="duplicateValues" dxfId="17" priority="9"/>
  </conditionalFormatting>
  <conditionalFormatting sqref="D2:D3">
    <cfRule type="containsErrors" dxfId="16" priority="7">
      <formula>ISERROR(D2)</formula>
    </cfRule>
  </conditionalFormatting>
  <conditionalFormatting sqref="C4:C32">
    <cfRule type="duplicateValues" dxfId="15" priority="6"/>
  </conditionalFormatting>
  <conditionalFormatting sqref="D4:D63">
    <cfRule type="containsErrors" dxfId="14" priority="4">
      <formula>ISERROR(D4)</formula>
    </cfRule>
  </conditionalFormatting>
  <conditionalFormatting sqref="C33:C63">
    <cfRule type="duplicateValues" dxfId="13" priority="3"/>
  </conditionalFormatting>
  <dataValidations count="4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9" t="s">
        <v>146</v>
      </c>
      <c r="E1" s="50">
        <f ca="1">TODAY()</f>
        <v>45510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5" t="s">
        <v>148</v>
      </c>
      <c r="C4" s="45" t="s">
        <v>149</v>
      </c>
      <c r="D4" s="46" t="s">
        <v>151</v>
      </c>
      <c r="E4" s="45" t="s">
        <v>152</v>
      </c>
      <c r="G4" s="63"/>
      <c r="H4" s="45" t="s">
        <v>148</v>
      </c>
      <c r="I4" s="45" t="s">
        <v>149</v>
      </c>
      <c r="J4" s="46" t="s">
        <v>159</v>
      </c>
      <c r="K4" s="45" t="s">
        <v>152</v>
      </c>
      <c r="L4" s="45" t="s">
        <v>162</v>
      </c>
      <c r="M4" s="46" t="s">
        <v>161</v>
      </c>
      <c r="N4" s="46" t="s">
        <v>165</v>
      </c>
      <c r="O4" s="46" t="s">
        <v>166</v>
      </c>
    </row>
    <row r="5" spans="1:15" x14ac:dyDescent="0.25">
      <c r="A5" s="37">
        <v>1</v>
      </c>
      <c r="B5" s="40" t="str">
        <f>info!K2</f>
        <v>1.1 ОИПП</v>
      </c>
      <c r="C5" s="39" t="str">
        <f>info!K3</f>
        <v>1.1</v>
      </c>
      <c r="D5" s="37">
        <f>COUNTIF(ОПП!AS:AS,"&gt;0")</f>
        <v>5</v>
      </c>
      <c r="E5" s="41">
        <f>D5*100/$D$16</f>
        <v>13.157894736842104</v>
      </c>
      <c r="G5" s="37">
        <v>1</v>
      </c>
      <c r="H5" s="40" t="str">
        <f>B5</f>
        <v>1.1 ОИПП</v>
      </c>
      <c r="I5" s="39" t="str">
        <f>C5</f>
        <v>1.1</v>
      </c>
      <c r="J5" s="37">
        <f>SUM(ОПП!W:W)</f>
        <v>2</v>
      </c>
      <c r="K5" s="41">
        <f>J5*100/$J$16</f>
        <v>0.15337423312883436</v>
      </c>
      <c r="L5" s="47">
        <f ca="1">SUMIF(ОПП!$AI:$AI,"&lt;="&amp;$E$1+info!$J$4,ОПП!W:W)</f>
        <v>1</v>
      </c>
      <c r="M5" s="37">
        <f ca="1">J5-L5</f>
        <v>1</v>
      </c>
      <c r="N5" s="41">
        <f ca="1">M5*100/(L5+M5)</f>
        <v>50</v>
      </c>
      <c r="O5" s="41">
        <f ca="1">M5*100/$M$16</f>
        <v>0.70422535211267601</v>
      </c>
    </row>
    <row r="6" spans="1:15" x14ac:dyDescent="0.25">
      <c r="A6" s="37">
        <v>2</v>
      </c>
      <c r="B6" s="40" t="str">
        <f>info!L2</f>
        <v>1.2 ОИВ</v>
      </c>
      <c r="C6" s="39" t="str">
        <f>info!L3</f>
        <v>1.2</v>
      </c>
      <c r="D6" s="37">
        <f>COUNTIF(ОПП!AT:AT,"&gt;0")</f>
        <v>6</v>
      </c>
      <c r="E6" s="41">
        <f>D6*100/$D$16</f>
        <v>15.789473684210526</v>
      </c>
      <c r="G6" s="37">
        <v>2</v>
      </c>
      <c r="H6" s="40" t="str">
        <f t="shared" ref="H6:H15" si="0">B6</f>
        <v>1.2 ОИВ</v>
      </c>
      <c r="I6" s="39" t="str">
        <f t="shared" ref="I6:I15" si="1">C6</f>
        <v>1.2</v>
      </c>
      <c r="J6" s="37">
        <f>SUM(ОПП!X:X)</f>
        <v>336</v>
      </c>
      <c r="K6" s="41">
        <f t="shared" ref="K6:K16" si="2">J6*100/$J$16</f>
        <v>25.766871165644172</v>
      </c>
      <c r="L6" s="47">
        <f ca="1">SUMIF(ОПП!$AI:$AI,"&lt;="&amp;$E$1+info!$J$4,ОПП!X:X)</f>
        <v>334</v>
      </c>
      <c r="M6" s="37">
        <f t="shared" ref="M6:M15" ca="1" si="3">J6-L6</f>
        <v>2</v>
      </c>
      <c r="N6" s="41">
        <f t="shared" ref="N6:N16" ca="1" si="4">M6*100/(L6+M6)</f>
        <v>0.59523809523809523</v>
      </c>
      <c r="O6" s="41">
        <f t="shared" ref="O6:O16" ca="1" si="5">M6*100/$M$16</f>
        <v>1.408450704225352</v>
      </c>
    </row>
    <row r="7" spans="1:15" x14ac:dyDescent="0.25">
      <c r="A7" s="37">
        <v>3</v>
      </c>
      <c r="B7" s="40" t="str">
        <f>info!M2</f>
        <v>1.3 ОФХМИ</v>
      </c>
      <c r="C7" s="39" t="str">
        <f>info!M3</f>
        <v>1.3</v>
      </c>
      <c r="D7" s="37">
        <f>COUNTIF(ОПП!AU:AU,"&gt;0")</f>
        <v>5</v>
      </c>
      <c r="E7" s="41">
        <f t="shared" ref="E7:E16" si="6">D7*100/$D$16</f>
        <v>13.157894736842104</v>
      </c>
      <c r="G7" s="37">
        <v>3</v>
      </c>
      <c r="H7" s="40" t="str">
        <f t="shared" si="0"/>
        <v>1.3 ОФХМИ</v>
      </c>
      <c r="I7" s="39" t="str">
        <f t="shared" si="1"/>
        <v>1.3</v>
      </c>
      <c r="J7" s="37">
        <f>SUM(ОПП!Y:Y)</f>
        <v>127</v>
      </c>
      <c r="K7" s="41">
        <f t="shared" si="2"/>
        <v>9.7392638036809824</v>
      </c>
      <c r="L7" s="47">
        <f ca="1">SUMIF(ОПП!$AI:$AI,"&lt;="&amp;$E$1+info!$J$4,ОПП!Y:Y)</f>
        <v>123</v>
      </c>
      <c r="M7" s="37">
        <f t="shared" ca="1" si="3"/>
        <v>4</v>
      </c>
      <c r="N7" s="41">
        <f t="shared" ca="1" si="4"/>
        <v>3.1496062992125986</v>
      </c>
      <c r="O7" s="41">
        <f t="shared" ca="1" si="5"/>
        <v>2.816901408450704</v>
      </c>
    </row>
    <row r="8" spans="1:15" x14ac:dyDescent="0.25">
      <c r="A8" s="37">
        <v>4</v>
      </c>
      <c r="B8" s="40" t="str">
        <f>info!N2</f>
        <v>1.4 ОИВС</v>
      </c>
      <c r="C8" s="39" t="str">
        <f>info!N3</f>
        <v>1.4</v>
      </c>
      <c r="D8" s="37">
        <f>COUNTIF(ОПП!AV:AV,"&gt;0")</f>
        <v>2</v>
      </c>
      <c r="E8" s="41">
        <f t="shared" si="6"/>
        <v>5.2631578947368425</v>
      </c>
      <c r="G8" s="37">
        <v>4</v>
      </c>
      <c r="H8" s="40" t="str">
        <f t="shared" si="0"/>
        <v>1.4 ОИВС</v>
      </c>
      <c r="I8" s="39" t="str">
        <f t="shared" si="1"/>
        <v>1.4</v>
      </c>
      <c r="J8" s="37">
        <f>SUM(ОПП!Z:Z)</f>
        <v>2</v>
      </c>
      <c r="K8" s="41">
        <f t="shared" si="2"/>
        <v>0.15337423312883436</v>
      </c>
      <c r="L8" s="47">
        <f ca="1">SUMIF(ОПП!$AI:$AI,"&lt;="&amp;$E$1+info!$J$4,ОПП!Z:Z)</f>
        <v>1</v>
      </c>
      <c r="M8" s="37">
        <f t="shared" ca="1" si="3"/>
        <v>1</v>
      </c>
      <c r="N8" s="41">
        <f t="shared" ca="1" si="4"/>
        <v>50</v>
      </c>
      <c r="O8" s="41">
        <f t="shared" ca="1" si="5"/>
        <v>0.70422535211267601</v>
      </c>
    </row>
    <row r="9" spans="1:15" x14ac:dyDescent="0.25">
      <c r="A9" s="37">
        <v>5</v>
      </c>
      <c r="B9" s="40" t="str">
        <f>info!O2</f>
        <v>1.5 ОНИ</v>
      </c>
      <c r="C9" s="39" t="str">
        <f>info!O3</f>
        <v>1.5</v>
      </c>
      <c r="D9" s="37">
        <f>COUNTIF(ОПП!AW:AW,"&gt;0")</f>
        <v>4</v>
      </c>
      <c r="E9" s="41">
        <f t="shared" si="6"/>
        <v>10.526315789473685</v>
      </c>
      <c r="G9" s="37">
        <v>5</v>
      </c>
      <c r="H9" s="40" t="str">
        <f t="shared" si="0"/>
        <v>1.5 ОНИ</v>
      </c>
      <c r="I9" s="39" t="str">
        <f t="shared" si="1"/>
        <v>1.5</v>
      </c>
      <c r="J9" s="37">
        <f>SUM(ОПП!AA:AA)</f>
        <v>46</v>
      </c>
      <c r="K9" s="41">
        <f t="shared" si="2"/>
        <v>3.5276073619631902</v>
      </c>
      <c r="L9" s="47">
        <f ca="1">SUMIF(ОПП!$AI:$AI,"&lt;="&amp;$E$1+info!$J$4,ОПП!AA:AA)</f>
        <v>1</v>
      </c>
      <c r="M9" s="37">
        <f t="shared" ca="1" si="3"/>
        <v>45</v>
      </c>
      <c r="N9" s="41">
        <f t="shared" ca="1" si="4"/>
        <v>97.826086956521735</v>
      </c>
      <c r="O9" s="41">
        <f t="shared" ca="1" si="5"/>
        <v>31.690140845070424</v>
      </c>
    </row>
    <row r="10" spans="1:15" x14ac:dyDescent="0.25">
      <c r="A10" s="37">
        <v>6</v>
      </c>
      <c r="B10" s="40" t="str">
        <f>info!P2</f>
        <v>1.6 ОПТ</v>
      </c>
      <c r="C10" s="39" t="str">
        <f>info!P3</f>
        <v>1.6</v>
      </c>
      <c r="D10" s="37">
        <f>COUNTIF(ОПП!AX:AX,"&gt;0")</f>
        <v>0</v>
      </c>
      <c r="E10" s="41">
        <f t="shared" si="6"/>
        <v>0</v>
      </c>
      <c r="G10" s="37">
        <v>6</v>
      </c>
      <c r="H10" s="40" t="str">
        <f t="shared" si="0"/>
        <v>1.6 ОПТ</v>
      </c>
      <c r="I10" s="39" t="str">
        <f t="shared" si="1"/>
        <v>1.6</v>
      </c>
      <c r="J10" s="37">
        <f>SUM(ОПП!AB:AB)</f>
        <v>0</v>
      </c>
      <c r="K10" s="41">
        <f t="shared" si="2"/>
        <v>0</v>
      </c>
      <c r="L10" s="47">
        <f ca="1">SUMIF(ОПП!$AI:$AI,"&lt;="&amp;$E$1+info!$J$4,ОПП!AB:AB)</f>
        <v>0</v>
      </c>
      <c r="M10" s="37">
        <f t="shared" ca="1" si="3"/>
        <v>0</v>
      </c>
      <c r="N10" s="41" t="e">
        <f t="shared" ca="1" si="4"/>
        <v>#DIV/0!</v>
      </c>
      <c r="O10" s="41">
        <f t="shared" ca="1" si="5"/>
        <v>0</v>
      </c>
    </row>
    <row r="11" spans="1:15" x14ac:dyDescent="0.25">
      <c r="A11" s="37">
        <v>7</v>
      </c>
      <c r="B11" s="40" t="str">
        <f>info!Q2</f>
        <v>2. МБЛ</v>
      </c>
      <c r="C11" s="39" t="str">
        <f>info!Q3</f>
        <v>2</v>
      </c>
      <c r="D11" s="37">
        <f>COUNTIF(ОПП!AY:AY,"&gt;0")</f>
        <v>4</v>
      </c>
      <c r="E11" s="41">
        <f t="shared" si="6"/>
        <v>10.526315789473685</v>
      </c>
      <c r="G11" s="37">
        <v>7</v>
      </c>
      <c r="H11" s="40" t="str">
        <f t="shared" si="0"/>
        <v>2. МБЛ</v>
      </c>
      <c r="I11" s="39" t="str">
        <f t="shared" si="1"/>
        <v>2</v>
      </c>
      <c r="J11" s="37">
        <f>SUM(ОПП!AC:AC)</f>
        <v>9</v>
      </c>
      <c r="K11" s="41">
        <f t="shared" si="2"/>
        <v>0.69018404907975461</v>
      </c>
      <c r="L11" s="47">
        <f ca="1">SUMIF(ОПП!$AI:$AI,"&lt;="&amp;$E$1+info!$J$4,ОПП!AC:AC)</f>
        <v>9</v>
      </c>
      <c r="M11" s="37">
        <f t="shared" ca="1" si="3"/>
        <v>0</v>
      </c>
      <c r="N11" s="41">
        <f t="shared" ca="1" si="4"/>
        <v>0</v>
      </c>
      <c r="O11" s="41">
        <f t="shared" ca="1" si="5"/>
        <v>0</v>
      </c>
    </row>
    <row r="12" spans="1:15" x14ac:dyDescent="0.25">
      <c r="A12" s="37">
        <v>8</v>
      </c>
      <c r="B12" s="40" t="str">
        <f>info!R2</f>
        <v>3. МБЛ</v>
      </c>
      <c r="C12" s="39" t="str">
        <f>info!R3</f>
        <v>3</v>
      </c>
      <c r="D12" s="37">
        <f>COUNTIF(ОПП!AZ:AZ,"&gt;0")</f>
        <v>3</v>
      </c>
      <c r="E12" s="41">
        <f t="shared" si="6"/>
        <v>7.8947368421052628</v>
      </c>
      <c r="G12" s="37">
        <v>8</v>
      </c>
      <c r="H12" s="40" t="str">
        <f t="shared" si="0"/>
        <v>3. МБЛ</v>
      </c>
      <c r="I12" s="39" t="str">
        <f t="shared" si="1"/>
        <v>3</v>
      </c>
      <c r="J12" s="37">
        <f>SUM(ОПП!AD:AD)</f>
        <v>403</v>
      </c>
      <c r="K12" s="41">
        <f t="shared" si="2"/>
        <v>30.904907975460123</v>
      </c>
      <c r="L12" s="47">
        <f ca="1">SUMIF(ОПП!$AI:$AI,"&lt;="&amp;$E$1+info!$J$4,ОПП!AD:AD)</f>
        <v>359</v>
      </c>
      <c r="M12" s="37">
        <f t="shared" ca="1" si="3"/>
        <v>44</v>
      </c>
      <c r="N12" s="41">
        <f t="shared" ca="1" si="4"/>
        <v>10.918114143920596</v>
      </c>
      <c r="O12" s="41">
        <f t="shared" ca="1" si="5"/>
        <v>30.985915492957748</v>
      </c>
    </row>
    <row r="13" spans="1:15" x14ac:dyDescent="0.25">
      <c r="A13" s="37">
        <v>9</v>
      </c>
      <c r="B13" s="40" t="str">
        <f>info!S2</f>
        <v>5. ЛРК</v>
      </c>
      <c r="C13" s="39" t="str">
        <f>info!S3</f>
        <v>5</v>
      </c>
      <c r="D13" s="37">
        <f>COUNTIF(ОПП!BA:BA,"&gt;0")</f>
        <v>4</v>
      </c>
      <c r="E13" s="41">
        <f t="shared" si="6"/>
        <v>10.526315789473685</v>
      </c>
      <c r="G13" s="37">
        <v>9</v>
      </c>
      <c r="H13" s="40" t="str">
        <f t="shared" si="0"/>
        <v>5. ЛРК</v>
      </c>
      <c r="I13" s="39" t="str">
        <f t="shared" si="1"/>
        <v>5</v>
      </c>
      <c r="J13" s="37">
        <f>SUM(ОПП!AE:AE)</f>
        <v>1</v>
      </c>
      <c r="K13" s="41">
        <f t="shared" si="2"/>
        <v>7.6687116564417179E-2</v>
      </c>
      <c r="L13" s="47">
        <f ca="1">SUMIF(ОПП!$AI:$AI,"&lt;="&amp;$E$1+info!$J$4,ОПП!AE:AE)</f>
        <v>1</v>
      </c>
      <c r="M13" s="37">
        <f t="shared" ca="1" si="3"/>
        <v>0</v>
      </c>
      <c r="N13" s="41">
        <f t="shared" ca="1" si="4"/>
        <v>0</v>
      </c>
      <c r="O13" s="41">
        <f t="shared" ca="1" si="5"/>
        <v>0</v>
      </c>
    </row>
    <row r="14" spans="1:15" x14ac:dyDescent="0.25">
      <c r="A14" s="37">
        <v>10</v>
      </c>
      <c r="B14" s="40" t="str">
        <f>info!T2</f>
        <v>8. ВЛ</v>
      </c>
      <c r="C14" s="39" t="str">
        <f>info!T3</f>
        <v>8</v>
      </c>
      <c r="D14" s="37">
        <f>COUNTIF(ОПП!BB:BB,"&gt;0")</f>
        <v>3</v>
      </c>
      <c r="E14" s="41">
        <f t="shared" si="6"/>
        <v>7.8947368421052628</v>
      </c>
      <c r="G14" s="37">
        <v>10</v>
      </c>
      <c r="H14" s="40" t="str">
        <f t="shared" si="0"/>
        <v>8. ВЛ</v>
      </c>
      <c r="I14" s="39" t="str">
        <f t="shared" si="1"/>
        <v>8</v>
      </c>
      <c r="J14" s="37">
        <f>SUM(ОПП!AF:AF)</f>
        <v>334</v>
      </c>
      <c r="K14" s="41">
        <f t="shared" si="2"/>
        <v>25.613496932515336</v>
      </c>
      <c r="L14" s="47">
        <f ca="1">SUMIF(ОПП!$AI:$AI,"&lt;="&amp;$E$1+info!$J$4,ОПП!AF:AF)</f>
        <v>333</v>
      </c>
      <c r="M14" s="37">
        <f t="shared" ca="1" si="3"/>
        <v>1</v>
      </c>
      <c r="N14" s="41">
        <f t="shared" ca="1" si="4"/>
        <v>0.29940119760479039</v>
      </c>
      <c r="O14" s="41">
        <f t="shared" ca="1" si="5"/>
        <v>0.70422535211267601</v>
      </c>
    </row>
    <row r="15" spans="1:15" x14ac:dyDescent="0.25">
      <c r="A15" s="37">
        <v>11</v>
      </c>
      <c r="B15" s="40" t="str">
        <f>info!U2</f>
        <v>9. ООИ</v>
      </c>
      <c r="C15" s="39" t="str">
        <f>info!U3</f>
        <v>9</v>
      </c>
      <c r="D15" s="37">
        <f>COUNTIF(ОПП!BC:BC,"&gt;0")</f>
        <v>2</v>
      </c>
      <c r="E15" s="41">
        <f t="shared" si="6"/>
        <v>5.2631578947368425</v>
      </c>
      <c r="G15" s="37">
        <v>11</v>
      </c>
      <c r="H15" s="40" t="str">
        <f t="shared" si="0"/>
        <v>9. ООИ</v>
      </c>
      <c r="I15" s="39" t="str">
        <f t="shared" si="1"/>
        <v>9</v>
      </c>
      <c r="J15" s="37">
        <f>SUM(ОПП!AG:AG)</f>
        <v>44</v>
      </c>
      <c r="K15" s="41">
        <f t="shared" si="2"/>
        <v>3.3742331288343559</v>
      </c>
      <c r="L15" s="47">
        <f ca="1">SUMIF(ОПП!$AI:$AI,"&lt;="&amp;$E$1+info!$J$4,ОПП!AG:AG)</f>
        <v>0</v>
      </c>
      <c r="M15" s="37">
        <f t="shared" ca="1" si="3"/>
        <v>44</v>
      </c>
      <c r="N15" s="41">
        <f t="shared" ca="1" si="4"/>
        <v>100</v>
      </c>
      <c r="O15" s="41">
        <f t="shared" ca="1" si="5"/>
        <v>30.985915492957748</v>
      </c>
    </row>
    <row r="16" spans="1:15" x14ac:dyDescent="0.25">
      <c r="A16" s="37">
        <v>12</v>
      </c>
      <c r="B16" s="42" t="s">
        <v>153</v>
      </c>
      <c r="C16" s="43" t="s">
        <v>150</v>
      </c>
      <c r="D16" s="44">
        <f>SUM(D5:D15)</f>
        <v>38</v>
      </c>
      <c r="E16" s="41">
        <f t="shared" si="6"/>
        <v>100</v>
      </c>
      <c r="G16" s="37">
        <v>12</v>
      </c>
      <c r="H16" s="42" t="s">
        <v>153</v>
      </c>
      <c r="I16" s="43" t="s">
        <v>150</v>
      </c>
      <c r="J16" s="44">
        <f>SUM(J5:J15)</f>
        <v>1304</v>
      </c>
      <c r="K16" s="41">
        <f t="shared" si="2"/>
        <v>100</v>
      </c>
      <c r="L16" s="44">
        <f ca="1">SUM(L5:L15)</f>
        <v>1162</v>
      </c>
      <c r="M16" s="44">
        <f ca="1">SUM(M5:M15)</f>
        <v>142</v>
      </c>
      <c r="N16" s="41">
        <f t="shared" ca="1" si="4"/>
        <v>10.889570552147239</v>
      </c>
      <c r="O16" s="41">
        <f t="shared" ca="1" si="5"/>
        <v>100</v>
      </c>
    </row>
    <row r="17" spans="2:4" ht="26.25" customHeight="1" x14ac:dyDescent="0.25">
      <c r="B17" s="66" t="s">
        <v>154</v>
      </c>
      <c r="C17" s="67"/>
      <c r="D17" s="44">
        <f>COUNTIF(ОПП!BD:BD,"&gt;0")</f>
        <v>20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70" zoomScaleNormal="55" zoomScaleSheetLayoutView="7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O8" sqref="O8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4" t="s">
        <v>112</v>
      </c>
      <c r="J2" s="24" t="s">
        <v>113</v>
      </c>
      <c r="K2" s="24" t="s">
        <v>22</v>
      </c>
      <c r="L2" s="24" t="s">
        <v>23</v>
      </c>
      <c r="M2" s="24" t="s">
        <v>24</v>
      </c>
      <c r="N2" s="24" t="s">
        <v>25</v>
      </c>
      <c r="O2" s="24" t="s">
        <v>26</v>
      </c>
      <c r="P2" s="24" t="s">
        <v>27</v>
      </c>
      <c r="Q2" s="24" t="s">
        <v>28</v>
      </c>
      <c r="R2" s="24" t="s">
        <v>29</v>
      </c>
      <c r="S2" s="24" t="s">
        <v>30</v>
      </c>
      <c r="T2" s="24" t="s">
        <v>31</v>
      </c>
      <c r="U2" s="24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5" t="s">
        <v>115</v>
      </c>
      <c r="J3" s="56">
        <v>300</v>
      </c>
      <c r="K3" s="52" t="s">
        <v>97</v>
      </c>
      <c r="L3" s="52" t="s">
        <v>98</v>
      </c>
      <c r="M3" s="52" t="s">
        <v>99</v>
      </c>
      <c r="N3" s="52" t="s">
        <v>100</v>
      </c>
      <c r="O3" s="52" t="s">
        <v>101</v>
      </c>
      <c r="P3" s="52" t="s">
        <v>102</v>
      </c>
      <c r="Q3" s="52" t="s">
        <v>103</v>
      </c>
      <c r="R3" s="52" t="s">
        <v>104</v>
      </c>
      <c r="S3" s="52" t="s">
        <v>105</v>
      </c>
      <c r="T3" s="52" t="s">
        <v>106</v>
      </c>
      <c r="U3" s="52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5" t="s">
        <v>114</v>
      </c>
      <c r="J4" s="56">
        <v>50</v>
      </c>
      <c r="K4" s="53" t="s">
        <v>186</v>
      </c>
      <c r="L4" s="53" t="s">
        <v>188</v>
      </c>
      <c r="M4" s="53" t="s">
        <v>189</v>
      </c>
      <c r="N4" s="53" t="s">
        <v>192</v>
      </c>
      <c r="O4" s="53" t="s">
        <v>193</v>
      </c>
      <c r="P4" s="53" t="s">
        <v>191</v>
      </c>
      <c r="Q4" s="53" t="s">
        <v>194</v>
      </c>
      <c r="R4" s="53" t="s">
        <v>195</v>
      </c>
      <c r="S4" s="53" t="s">
        <v>196</v>
      </c>
      <c r="T4" s="53" t="s">
        <v>197</v>
      </c>
      <c r="U4" s="53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5" t="s">
        <v>116</v>
      </c>
      <c r="J5" s="56">
        <v>400</v>
      </c>
      <c r="K5" s="54">
        <f>J8</f>
        <v>45</v>
      </c>
      <c r="L5" s="54">
        <f>K5+1</f>
        <v>46</v>
      </c>
      <c r="M5" s="54">
        <f>L5+1</f>
        <v>47</v>
      </c>
      <c r="N5" s="54">
        <f>M5+1</f>
        <v>48</v>
      </c>
      <c r="O5" s="54">
        <f>N5+1</f>
        <v>49</v>
      </c>
      <c r="P5" s="54">
        <f t="shared" ref="P5:U5" si="0">O5+1</f>
        <v>50</v>
      </c>
      <c r="Q5" s="54">
        <f t="shared" si="0"/>
        <v>51</v>
      </c>
      <c r="R5" s="54">
        <f t="shared" si="0"/>
        <v>52</v>
      </c>
      <c r="S5" s="54">
        <f t="shared" si="0"/>
        <v>53</v>
      </c>
      <c r="T5" s="54">
        <f t="shared" si="0"/>
        <v>54</v>
      </c>
      <c r="U5" s="54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5" t="s">
        <v>118</v>
      </c>
      <c r="J6" s="56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5" t="s">
        <v>123</v>
      </c>
      <c r="J7" s="56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5" t="s">
        <v>124</v>
      </c>
      <c r="J8" s="56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5" t="s">
        <v>125</v>
      </c>
      <c r="J9" s="56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5" t="s">
        <v>126</v>
      </c>
      <c r="J10" s="56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5" t="s">
        <v>185</v>
      </c>
      <c r="J11" s="56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8" t="s">
        <v>167</v>
      </c>
      <c r="K12" s="54" t="s">
        <v>103</v>
      </c>
      <c r="L12" s="54">
        <v>4</v>
      </c>
      <c r="M12" s="54">
        <v>5</v>
      </c>
      <c r="N12" s="54">
        <v>8</v>
      </c>
      <c r="O12" s="54">
        <v>11</v>
      </c>
      <c r="P12" s="54">
        <v>13</v>
      </c>
      <c r="Q12" s="54">
        <v>20</v>
      </c>
      <c r="R12" s="54">
        <v>39</v>
      </c>
      <c r="S12" s="54"/>
      <c r="T12" s="54"/>
      <c r="U12" s="54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8" t="s">
        <v>170</v>
      </c>
      <c r="K13" s="54" t="s">
        <v>103</v>
      </c>
      <c r="L13" s="54">
        <v>3</v>
      </c>
      <c r="M13" s="54">
        <v>4</v>
      </c>
      <c r="N13" s="54">
        <v>5</v>
      </c>
      <c r="O13" s="54">
        <v>6</v>
      </c>
      <c r="P13" s="54">
        <v>7</v>
      </c>
      <c r="Q13" s="54">
        <v>8</v>
      </c>
      <c r="R13" s="54">
        <v>9</v>
      </c>
      <c r="S13" s="54"/>
      <c r="T13" s="54"/>
      <c r="U13" s="54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8" t="s">
        <v>171</v>
      </c>
      <c r="K14" s="54">
        <v>23</v>
      </c>
      <c r="L14" s="54">
        <v>24</v>
      </c>
      <c r="M14" s="54">
        <v>25</v>
      </c>
      <c r="N14" s="54">
        <v>26</v>
      </c>
      <c r="O14" s="54">
        <v>27</v>
      </c>
      <c r="P14" s="54">
        <v>28</v>
      </c>
      <c r="Q14" s="54">
        <v>29</v>
      </c>
      <c r="R14" s="54">
        <v>30</v>
      </c>
      <c r="S14" s="54">
        <v>31</v>
      </c>
      <c r="T14" s="54">
        <v>32</v>
      </c>
      <c r="U14" s="54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8" t="s">
        <v>174</v>
      </c>
      <c r="K15" s="54">
        <v>1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8" t="s">
        <v>175</v>
      </c>
      <c r="K16" s="54">
        <v>1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8" t="s">
        <v>176</v>
      </c>
      <c r="K17" s="54">
        <v>4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8" t="s">
        <v>177</v>
      </c>
      <c r="K18" s="54">
        <v>3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48.75" thickTop="1" thickBot="1" x14ac:dyDescent="0.3">
      <c r="A19" s="21" t="s">
        <v>66</v>
      </c>
      <c r="B19" s="23"/>
      <c r="C19" s="23"/>
      <c r="D19" s="23"/>
      <c r="I19" s="55" t="s">
        <v>179</v>
      </c>
      <c r="J19" s="57">
        <v>255</v>
      </c>
      <c r="K19" s="57">
        <v>0</v>
      </c>
      <c r="L19" s="57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5" t="s">
        <v>181</v>
      </c>
      <c r="J20" s="56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5" t="s">
        <v>183</v>
      </c>
      <c r="J21" s="56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5" t="s">
        <v>187</v>
      </c>
      <c r="J22" s="59">
        <f>GetDeptsNumber(K3:AD3,K4:AD4,K5:AD5,K14:AD14)</f>
        <v>11</v>
      </c>
      <c r="K22" s="60"/>
    </row>
    <row r="23" spans="1:21" ht="48.75" thickTop="1" thickBot="1" x14ac:dyDescent="0.3">
      <c r="A23" s="21" t="s">
        <v>70</v>
      </c>
      <c r="B23" s="23"/>
      <c r="C23" s="23"/>
      <c r="D23" s="23"/>
      <c r="I23" s="55" t="s">
        <v>203</v>
      </c>
      <c r="J23" s="53" t="s">
        <v>202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0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sheetProtection algorithmName="SHA-512" hashValue="8+p5nKL4w+2aBz9m0EWZI8+AFN62gDkMHAKgQtHyEHFR9cQF46uu5Z4zblDSdinI8rR/zP+hIVKU8GRHlNKzPQ==" saltValue="mV5z7yagxPkKiICNm+xHPA==" spinCount="100000" sheet="1" objects="1" scenarios="1"/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6" t="s">
        <v>1</v>
      </c>
      <c r="C1" s="35" t="s">
        <v>3</v>
      </c>
      <c r="D1" s="31" t="s">
        <v>4</v>
      </c>
      <c r="E1" s="26" t="s">
        <v>7</v>
      </c>
      <c r="F1" s="26" t="s">
        <v>10</v>
      </c>
      <c r="G1" s="32" t="s">
        <v>12</v>
      </c>
      <c r="H1" s="33" t="s">
        <v>19</v>
      </c>
      <c r="I1" s="33" t="s">
        <v>169</v>
      </c>
      <c r="J1" s="32" t="s">
        <v>122</v>
      </c>
      <c r="K1" s="34" t="s">
        <v>34</v>
      </c>
      <c r="L1" s="36" t="s">
        <v>168</v>
      </c>
      <c r="M1" s="26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1"/>
      <c r="J2" s="13"/>
      <c r="K2" s="10"/>
      <c r="L2" s="51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1"/>
      <c r="J3" s="13"/>
      <c r="K3" s="10"/>
      <c r="L3" s="51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1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3"/>
  <sheetViews>
    <sheetView workbookViewId="0">
      <selection activeCell="M23" sqref="M23"/>
    </sheetView>
  </sheetViews>
  <sheetFormatPr defaultRowHeight="15" x14ac:dyDescent="0.25"/>
  <sheetData>
    <row r="1" spans="1:1" x14ac:dyDescent="0.25">
      <c r="A1" t="b">
        <f>OR(SUM(LEN(TRIM(K3))&gt;0)&lt;&gt;SUM(LEN(TRIM(K4))&gt;0),SUM(LEN(TRIM(K3))&gt;0)&lt;&gt;SUM(LEN(TRIM(K5))&gt;0),SUM(LEN(TRIM(K3))&gt;0)&lt;&gt;SUM(LEN(TRIM(K14))&gt;0))</f>
        <v>0</v>
      </c>
    </row>
    <row r="2" spans="1:1" x14ac:dyDescent="0.25">
      <c r="A2">
        <f>IFERROR(SEARCH(".txt",J23),SEARCH(".txt",J23))+SEARCH(":\",J23)</f>
        <v>6</v>
      </c>
    </row>
    <row r="23" spans="10:10" x14ac:dyDescent="0.25">
      <c r="J2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2024-08-06T08:14:29Z</dcterms:modified>
</cp:coreProperties>
</file>